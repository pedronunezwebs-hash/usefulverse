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136273bbe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00 candidatas" sheetId="1" r:id="R8528c660fc0446d1"/>
    <x:sheet xmlns:r="http://schemas.openxmlformats.org/officeDocument/2006/relationships" name="Inventario 700" sheetId="2" r:id="R0fcbbaacf9cb45e1"/>
    <x:sheet xmlns:r="http://schemas.openxmlformats.org/officeDocument/2006/relationships" name="Mediciones" sheetId="3" r:id="Rc9661936c11b4291"/>
    <x:sheet xmlns:r="http://schemas.openxmlformats.org/officeDocument/2006/relationships" name="Descartes" sheetId="4" r:id="R4b1c2b648d764f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&quot;   &quot;"/>
    <x:numFmt numFmtId="201" formatCode="#,##0"/>
    <x:numFmt numFmtId="202" formatCode="&quot;$&quot;0.00"/>
    <x:numFmt numFmtId="203" formatCode="0&quot;   &quot;"/>
  </x:numFmts>
  <x:fonts count="6">
    <x:font>
      <x:sz val="11"/>
      <x:name val="Carlito"/>
    </x:font>
    <x:font>
      <x:sz val="10"/>
      <x:color rgb="FF17233C"/>
      <x:name val="Arial"/>
    </x:font>
    <x:font>
      <x:b/>
      <x:sz val="15"/>
      <x:color rgb="FF17233C"/>
      <x:name val="Arial"/>
    </x:font>
    <x:font>
      <x:b/>
      <x:sz val="10"/>
      <x:color rgb="FF9C2424"/>
      <x:name val="Arial"/>
    </x:font>
    <x:font>
      <x:sz val="10"/>
      <x:color rgb="FF667085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F72"/>
      </x:patternFill>
    </x:fill>
    <x:fill>
      <x:patternFill patternType="solid">
        <x:fgColor rgb="FFFFF0C2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233F72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805E00"/>
      </x:font>
      <x:fill>
        <x:patternFill patternType="solid">
          <x:bgColor rgb="FFFFF0C2"/>
        </x:patternFill>
      </x:fill>
    </x:dxf>
    <x:dxf>
      <x:font>
        <x:color rgb="FF805E00"/>
      </x:font>
      <x:fill>
        <x:patternFill patternType="solid">
          <x:bgColor rgb="FFFFF0C2"/>
        </x:patternFill>
      </x:fill>
    </x:dxf>
    <x:dxf>
      <x:font>
        <x:color rgb="FF9C2424"/>
      </x:font>
      <x:fill>
        <x:patternFill patternType="solid">
          <x:bgColor rgb="FFFCE4E4"/>
        </x:patternFill>
      </x:fill>
    </x:dxf>
    <x:dxf>
      <x:font>
        <x:b/>
        <x:color rgb="FF805E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3f01d81634135" /><Relationship Type="http://schemas.openxmlformats.org/officeDocument/2006/relationships/theme" Target="/xl/theme/theme1.xml" Id="R9123daec1de944ae" /><Relationship Type="http://schemas.openxmlformats.org/officeDocument/2006/relationships/sharedStrings" Target="/xl/sharedStrings.xml" Id="R21675c87929e47f6" /><Relationship Type="http://schemas.openxmlformats.org/officeDocument/2006/relationships/worksheet" Target="/xl/worksheets/sheet1.xml" Id="R8528c660fc0446d1" /><Relationship Type="http://schemas.openxmlformats.org/officeDocument/2006/relationships/worksheet" Target="/xl/worksheets/sheet2.xml" Id="R0fcbbaacf9cb45e1" /><Relationship Type="http://schemas.openxmlformats.org/officeDocument/2006/relationships/worksheet" Target="/xl/worksheets/sheet3.xml" Id="Rc9661936c11b4291" /><Relationship Type="http://schemas.openxmlformats.org/officeDocument/2006/relationships/worksheet" Target="/xl/worksheets/sheet4.xml" Id="R4b1c2b648d764f88" /></Relationships>
</file>

<file path=xl/tables/table1.xml><?xml version="1.0" encoding="utf-8"?>
<x:table xmlns:x="http://schemas.openxmlformats.org/spreadsheetml/2006/main" id="1" name="Candidates300" displayName="Candidates300" ref="A16:S316" headerRowCount="1" totalsRowCount="0" totalsRowShown="0">
  <x:autoFilter ref="A16:S316"/>
  <x:tableColumns count="19">
    <x:tableColumn id="1" name="#"/>
    <x:tableColumn id="2" name="Herramienta"/>
    <x:tableColumn id="3" name="Consulta principal"/>
    <x:tableColumn id="4" name="Búsq./mes"/>
    <x:tableColumn id="5" name="Demanda"/>
    <x:tableColumn id="6" name="Decisión"/>
    <x:tableColumn id="7" name="Categoría"/>
    <x:tableColumn id="8" name="URL propuesta"/>
    <x:tableColumn id="9" name="Qué hará"/>
    <x:tableColumn id="10" name="Diferencia frente a las actuales"/>
    <x:tableColumn id="11" name="Bloqueo antes de implementar"/>
    <x:tableColumn id="12" name="Ejecución propuesta"/>
    <x:tableColumn id="13" name="Mantenimiento"/>
    <x:tableColumn id="14" name="Localización global"/>
    <x:tableColumn id="15" name="Evidencia DataForSEO"/>
    <x:tableColumn id="16" name="Periodo medido"/>
    <x:tableColumn id="17" name="Esfuerzo relativo"/>
    <x:tableColumn id="18" name="Referencia"/>
    <x:tableColumn id="19" name="Fuente técnica inici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700" displayName="Inventory700" ref="A6:H706" headerRowCount="1" totalsRowCount="0" totalsRowShown="0">
  <x:autoFilter ref="A6:H706"/>
  <x:tableColumns count="8">
    <x:tableColumn id="1" name="ID publicado"/>
    <x:tableColumn id="2" name="Nombre o intención fuente"/>
    <x:tableColumn id="3" name="Host"/>
    <x:tableColumn id="4" name="URL publicada"/>
    <x:tableColumn id="5" name="Locales"/>
    <x:tableColumn id="6" name="En catálogo main"/>
    <x:tableColumn id="7" name="Función observada en metadatos"/>
    <x:tableColumn id="8" name="Procedenc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eywordEvidence" displayName="KeywordEvidence" ref="A6:J1120" headerRowCount="1" totalsRowCount="0" totalsRowShown="0">
  <x:autoFilter ref="A6:J1120"/>
  <x:tableColumns count="10">
    <x:tableColumn id="1" name="Herramienta candidata"/>
    <x:tableColumn id="2" name="Consulta exacta devuelta"/>
    <x:tableColumn id="3" name="Búsq./mes"/>
    <x:tableColumn id="4" name="Principal elegida"/>
    <x:tableColumn id="5" name="Periodo de la serie"/>
    <x:tableColumn id="6" name="Alcance"/>
    <x:tableColumn id="7" name="Endpoint"/>
    <x:tableColumn id="8" name="Archivo de evidencia"/>
    <x:tableColumn id="9" name="ID de tarea"/>
    <x:tableColumn id="10" name="Socios de búsqued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jectedCandidates" displayName="RejectedCandidates" ref="A6:F77" headerRowCount="1" totalsRowCount="0" totalsRowShown="0">
  <x:autoFilter ref="A6:F77"/>
  <x:tableColumns count="6">
    <x:tableColumn id="1" name="ID de propuesta"/>
    <x:tableColumn id="2" name="Propuesta"/>
    <x:tableColumn id="3" name="Consulta principal"/>
    <x:tableColumn id="4" name="Búsq./mes"/>
    <x:tableColumn id="5" name="Motivo de exclusión"/>
    <x:tableColumn id="6" name="Función que se había propues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8a878c917b40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b68548ea0a4f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69b9fb19e14f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60a1ed219634c3c" /></Relationships>
</file>

<file path=xl/worksheets/sheet1.xml><?xml version="1.0" encoding="utf-8"?>
<x:worksheet xmlns:x="http://schemas.openxmlformats.org/spreadsheetml/2006/main">
  <x:sheetPr>
    <x:tabColor rgb="FF233F72"/>
  </x:sheetPr>
  <x:sheetViews>
    <x:sheetView showGridLines="0" workbookViewId="0">
      <x:pane xSplit="2" ySplit="16" topLeftCell="C17" activePane="bottomRight" state="frozen"/>
    </x:sheetView>
  </x:sheetViews>
  <x:sheetFormatPr defaultRowHeight="15"/>
  <x:cols>
    <x:col min="1" max="1" width="7" hidden="0" customWidth="1"/>
    <x:col min="2" max="2" width="31" hidden="0" customWidth="1"/>
    <x:col min="3" max="3" width="31" hidden="0" customWidth="1"/>
    <x:col min="4" max="4" width="15" hidden="0" customWidth="1"/>
    <x:col min="5" max="5" width="25" hidden="0" customWidth="1"/>
    <x:col min="6" max="6" width="43" hidden="0" customWidth="1"/>
    <x:col min="7" max="7" width="18" hidden="0" customWidth="1"/>
    <x:col min="8" max="8" width="55" hidden="0" customWidth="1"/>
    <x:col min="9" max="9" width="67" hidden="0" customWidth="1"/>
    <x:col min="10" max="10" width="67" hidden="0" customWidth="1"/>
    <x:col min="11" max="11" width="70" hidden="0" customWidth="1"/>
    <x:col min="12" max="12" width="58" hidden="0" customWidth="1"/>
    <x:col min="13" max="13" width="47" hidden="0" customWidth="1"/>
    <x:col min="14" max="14" width="65" hidden="0" customWidth="1"/>
    <x:col min="15" max="15" width="38" hidden="0" customWidth="1"/>
    <x:col min="16" max="16" width="25" hidden="0" customWidth="1"/>
    <x:col min="17" max="17" width="12" hidden="0" customWidth="1"/>
    <x:col min="18" max="18" width="15" hidden="0" customWidth="1"/>
    <x:col min="19" max="19" width="6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7" customHeight="1">
      <x:c r="A2" s="3" t="str">
        <x:v>UsefulVerse · 300 candidatas para llegar a 1.000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/>
      <x:c r="B3" s="4"/>
      <x:c r="C3" s="4"/>
      <x:c r="D3" s="4"/>
      <x:c r="E3" s="4"/>
      <x:c r="F3" s="4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2" customHeight="1">
      <x:c r="A5" s="2"/>
      <x:c r="B5" s="2" t="str">
        <x:v>Herramientas públicas</x:v>
      </x:c>
      <x:c r="C5" s="2"/>
      <x:c r="D5" s="5" t="n">
        <x:v>700</x:v>
      </x:c>
      <x:c r="E5" s="2" t="str">
        <x:v>Candidatas documentadas</x:v>
      </x:c>
      <x:c r="F5" s="6" t="n">
        <x:v>300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2" customHeight="1">
      <x:c r="A6" s="2"/>
      <x:c r="B6" s="2" t="str">
        <x:v>Consulta ≥300.000/mes</x:v>
      </x:c>
      <x:c r="C6" s="2"/>
      <x:c r="D6" s="5" t="n">
        <x:f>COUNTIF(E17:E316,"≥300.000")</x:f>
        <x:v>61</x:v>
      </x:c>
      <x:c r="E6" s="2" t="str">
        <x:v>Alternativas cercanas</x:v>
      </x:c>
      <x:c r="F6" s="6" t="n">
        <x:f>COUNTIF(E17:E316,"Cercana: 240.000–299.999")</x:f>
        <x:v>8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2" customHeight="1">
      <x:c r="A7" s="2"/>
      <x:c r="B7" s="2" t="str">
        <x:v>Alineadas ≥300.000/mes</x:v>
      </x:c>
      <x:c r="C7" s="2"/>
      <x:c r="D7" s="5" t="n">
        <x:f>COUNTIF(F17:F316,"Prioridad por demanda; falta viabilidad")</x:f>
        <x:v>50</x:v>
      </x:c>
      <x:c r="E7" s="2" t="str">
        <x:v>Consultas mixtas ≥300.000</x:v>
      </x:c>
      <x:c r="F7" s="6" t="n">
        <x:f>D6-D7</x:f>
        <x:v>11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2" customHeight="1">
      <x:c r="A8" s="2"/>
      <x:c r="B8" s="2" t="str">
        <x:v>Reserva bajo umbral</x:v>
      </x:c>
      <x:c r="C8" s="2"/>
      <x:c r="D8" s="5" t="n">
        <x:f>COUNTIF(F17:F316,"Reserva: NO cumple demanda autorizada")</x:f>
        <x:v>231</x:v>
      </x:c>
      <x:c r="E8" s="2" t="str">
        <x:v>DataForSEO gastado (USD)</x:v>
      </x:c>
      <x:c r="F8" s="7" t="n">
        <x:v>1.53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22" customHeight="1">
      <x:c r="A9" s="2"/>
      <x:c r="B9" s="2" t="str">
        <x:v>Mínimo principal</x:v>
      </x:c>
      <x:c r="C9" s="2"/>
      <x:c r="D9" s="20" t="n">
        <x:v>300000</x:v>
      </x:c>
      <x:c r="E9" s="2" t="str">
        <x:v>Suelo cercano</x:v>
      </x:c>
      <x:c r="F9" s="21" t="n">
        <x:v>240000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22" customHeight="1">
      <x:c r="A11" s="8" t="str">
        <x:v>61 consultas altas no equivalen a 61 herramientas listas. Hay 231 reservas que NO cumplen la demanda pedida.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22" customHeight="1">
      <x:c r="A12" s="9" t="str">
        <x:v>Global · Google Ads · sin filtro de idioma ni socios · octubre 2025–septiembre 2026 · consulta: 18–19 octubre 2026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</x:row>
    <x:row r="13" ht="22" customHeight="1">
      <x:c r="A13" s="9" t="str">
        <x:v>Orden por volumen, no por preparación. 37 locales previstos; URLs propuestas, todavía no publicadas. Ver los dos documentos del plan.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 ht="32" customHeight="1">
      <x:c r="A16" s="14" t="str">
        <x:v>#</x:v>
      </x:c>
      <x:c r="B16" s="15" t="str">
        <x:v>Herramienta</x:v>
      </x:c>
      <x:c r="C16" s="15" t="str">
        <x:v>Consulta principal</x:v>
      </x:c>
      <x:c r="D16" s="15" t="str">
        <x:v>Búsq./mes</x:v>
      </x:c>
      <x:c r="E16" s="15" t="str">
        <x:v>Demanda</x:v>
      </x:c>
      <x:c r="F16" s="15" t="str">
        <x:v>Decisión</x:v>
      </x:c>
      <x:c r="G16" s="15" t="str">
        <x:v>Categoría</x:v>
      </x:c>
      <x:c r="H16" s="15" t="str">
        <x:v>URL propuesta</x:v>
      </x:c>
      <x:c r="I16" s="15" t="str">
        <x:v>Qué hará</x:v>
      </x:c>
      <x:c r="J16" s="15" t="str">
        <x:v>Diferencia frente a las actuales</x:v>
      </x:c>
      <x:c r="K16" s="15" t="str">
        <x:v>Bloqueo antes de implementar</x:v>
      </x:c>
      <x:c r="L16" s="15" t="str">
        <x:v>Ejecución propuesta</x:v>
      </x:c>
      <x:c r="M16" s="15" t="str">
        <x:v>Mantenimiento</x:v>
      </x:c>
      <x:c r="N16" s="15" t="str">
        <x:v>Localización global</x:v>
      </x:c>
      <x:c r="O16" s="15" t="str">
        <x:v>Evidencia DataForSEO</x:v>
      </x:c>
      <x:c r="P16" s="15" t="str">
        <x:v>Periodo medido</x:v>
      </x:c>
      <x:c r="Q16" s="15" t="str">
        <x:v>Esfuerzo relativo</x:v>
      </x:c>
      <x:c r="R16" s="15" t="str">
        <x:v>Referencia</x:v>
      </x:c>
      <x:c r="S16" s="16" t="str">
        <x:v>Fuente técnica inicial</x:v>
      </x:c>
    </x:row>
    <x:row r="17" ht="64" customHeight="1">
      <x:c r="A17" s="18" t="n">
        <x:v>1</x:v>
      </x:c>
      <x:c r="B17" s="18" t="str">
        <x:v>Traductor multilingüe</x:v>
      </x:c>
      <x:c r="C17" s="18" t="str">
        <x:v>traductor</x:v>
      </x:c>
      <x:c r="D17" s="19" t="n">
        <x:v>226000000</x:v>
      </x:c>
      <x:c r="E17" s="18" t="str">
        <x:v>≥300.000</x:v>
      </x:c>
      <x:c r="F17" s="18" t="str">
        <x:v>Prioridad por demanda; falta viabilidad</x:v>
      </x:c>
      <x:c r="G17" s="18" t="str">
        <x:v>Idiomas</x:v>
      </x:c>
      <x:c r="H17" s="18" t="str">
        <x:v>https://tools.usefulverse.com/tools/text-translator/</x:v>
      </x:c>
      <x:c r="I17" s="18" t="str">
        <x:v>Traducir texto con detección, selección de idiomas y comparación del original.</x:v>
      </x:c>
      <x:c r="J17" s="18" t="str">
        <x:v>No existe traducción entre lenguas naturales; Morse y NATO son codificaciones.</x:v>
      </x:c>
      <x:c r="K17" s="18" t="str">
        <x:v>Modelo comercial permitido ejecutado en el dispositivo; tamaño y calidad por idioma.</x:v>
      </x:c>
      <x:c r="L17" s="18" t="str">
        <x:v>Modelo local: licencia y rendimiento pendientes</x:v>
      </x:c>
      <x:c r="M17" s="18" t="str">
        <x:v>Revisar motor, recursos y dependencias</x:v>
      </x:c>
      <x:c r="N17" s="18" t="str">
        <x:v>Interfaz en 37 idiomas; idioma no elige país ni reglas. Formatos Intl, RTL y datos/lexicón de idioma con cobertura explícita.</x:v>
      </x:c>
      <x:c r="O17" s="18" t="str">
        <x:v>discovery-multilingual-west.json</x:v>
      </x:c>
      <x:c r="P17" s="18" t="str">
        <x:v>2025-10 / 2026-09</x:v>
      </x:c>
      <x:c r="Q17" s="18" t="str">
        <x:v>L</x:v>
      </x:c>
      <x:c r="R17" s="18" t="str">
        <x:v>UV0701</x:v>
      </x:c>
      <x:c r="S17" s="18" t="str">
        <x:v>https://github.com/huggingface/transformers.js</x:v>
      </x:c>
    </x:row>
    <x:row r="18" ht="64" customHeight="1">
      <x:c r="A18" s="18" t="n">
        <x:v>2</x:v>
      </x:c>
      <x:c r="B18" s="18" t="str">
        <x:v>Prueba de velocidad de Internet</x:v>
      </x:c>
      <x:c r="C18" s="18" t="str">
        <x:v>speed test</x:v>
      </x:c>
      <x:c r="D18" s="19" t="n">
        <x:v>101000000</x:v>
      </x:c>
      <x:c r="E18" s="18" t="str">
        <x:v>≥300.000</x:v>
      </x:c>
      <x:c r="F18" s="18" t="str">
        <x:v>Prioridad por demanda; falta viabilidad</x:v>
      </x:c>
      <x:c r="G18" s="18" t="str">
        <x:v>Desarrollo</x:v>
      </x:c>
      <x:c r="H18" s="18" t="str">
        <x:v>https://tools.usefulverse.com/tools/internet-speed-test/</x:v>
      </x:c>
      <x:c r="I18" s="18" t="str">
        <x:v>Medir descarga, subida y latencia mediante un motor y endpoints documentados.</x:v>
      </x:c>
      <x:c r="J18" s="18" t="str">
        <x:v>browser-frame-rate-test mide animación local; no la conexión de red.</x:v>
      </x:c>
      <x:c r="K18" s="18" t="str">
        <x:v>Motor abierto Cloudflare como candidato; confirmar condiciones del servicio, privacidad y ausencia de cobro antes de publicar.</x:v>
      </x:c>
      <x:c r="L18" s="18" t="str">
        <x:v>Servicio/datos externos: condiciones y cuotas pendientes</x:v>
      </x:c>
      <x:c r="M18" s="18" t="str">
        <x:v>Datos: revisar fuente, licencia y cadencia</x:v>
      </x:c>
      <x:c r="N18" s="18" t="str">
        <x:v>Interfaz en 37 idiomas; idioma no elige país ni reglas. Formatos Intl, RTL y datos/lexicón de idioma con cobertura explícita.</x:v>
      </x:c>
      <x:c r="O18" s="18" t="str">
        <x:v>global-initial-screen.json</x:v>
      </x:c>
      <x:c r="P18" s="18" t="str">
        <x:v>2025-10 / 2026-09</x:v>
      </x:c>
      <x:c r="Q18" s="18" t="str">
        <x:v>L</x:v>
      </x:c>
      <x:c r="R18" s="18" t="str">
        <x:v>UV0702</x:v>
      </x:c>
      <x:c r="S18" s="18" t="str">
        <x:v>https://github.com/cloudflare/speedtest</x:v>
      </x:c>
    </x:row>
    <x:row r="19" ht="64" customHeight="1">
      <x:c r="A19" s="18" t="n">
        <x:v>3</x:v>
      </x:c>
      <x:c r="B19" s="18" t="str">
        <x:v>Asistente de texto local</x:v>
      </x:c>
      <x:c r="C19" s="18" t="str">
        <x:v>ai chatbot</x:v>
      </x:c>
      <x:c r="D19" s="19" t="n">
        <x:v>6120000</x:v>
      </x:c>
      <x:c r="E19" s="18" t="str">
        <x:v>≥300.000</x:v>
      </x:c>
      <x:c r="F19" s="18" t="str">
        <x:v>Prioridad por demanda; falta viabilidad</x:v>
      </x:c>
      <x:c r="G19" s="18" t="str">
        <x:v>Desarrollo</x:v>
      </x:c>
      <x:c r="H19" s="18" t="str">
        <x:v>https://tools.usefulverse.com/tools/local-ai-chat/</x:v>
      </x:c>
      <x:c r="I19" s="18" t="str">
        <x:v>Conversar con un modelo descargado al dispositivo y exportar historial privado.</x:v>
      </x:c>
      <x:c r="J19" s="18" t="str">
        <x:v>No hay asistente conversacional; text-summarizer no mantiene diálogo.</x:v>
      </x:c>
      <x:c r="K19" s="18" t="str">
        <x:v>Modelo con licencia comercial, descarga opcional y compatibilidad real de memoria y WebGPU.</x:v>
      </x:c>
      <x:c r="L19" s="18" t="str">
        <x:v>Modelo local: licencia y rendimiento pendientes</x:v>
      </x:c>
      <x:c r="M19" s="18" t="str">
        <x:v>Revisar motor, recursos y dependencias</x:v>
      </x:c>
      <x:c r="N19" s="18" t="str">
        <x:v>Interfaz en 37 idiomas; idioma no elige país ni reglas. Formatos Intl, RTL y datos/lexicón de idioma con cobertura explícita.</x:v>
      </x:c>
      <x:c r="O19" s="18" t="str">
        <x:v>global-extras.json</x:v>
      </x:c>
      <x:c r="P19" s="18" t="str">
        <x:v>2025-10 / 2026-09</x:v>
      </x:c>
      <x:c r="Q19" s="18" t="str">
        <x:v>L</x:v>
      </x:c>
      <x:c r="R19" s="18" t="str">
        <x:v>UV0703</x:v>
      </x:c>
      <x:c r="S19" s="18" t="str">
        <x:v>https://github.com/huggingface/transformers.js</x:v>
      </x:c>
    </x:row>
    <x:row r="20" ht="64" customHeight="1">
      <x:c r="A20" s="18" t="n">
        <x:v>4</x:v>
      </x:c>
      <x:c r="B20" s="18" t="str">
        <x:v>Pronóstico meteorológico</x:v>
      </x:c>
      <x:c r="C20" s="18" t="str">
        <x:v>weather forecast</x:v>
      </x:c>
      <x:c r="D20" s="19" t="n">
        <x:v>4090000</x:v>
      </x:c>
      <x:c r="E20" s="18" t="str">
        <x:v>≥300.000</x:v>
      </x:c>
      <x:c r="F20" s="18" t="str">
        <x:v>Prioridad por demanda; falta viabilidad</x:v>
      </x:c>
      <x:c r="G20" s="18" t="str">
        <x:v>Vida</x:v>
      </x:c>
      <x:c r="H20" s="18" t="str">
        <x:v>https://tools.usefulverse.com/tools/weather-dashboard/</x:v>
      </x:c>
      <x:c r="I20" s="18" t="str">
        <x:v>Consultar pronóstico por ubicación, fecha de actualización y proveedor, con unidades elegibles.</x:v>
      </x:c>
      <x:c r="J20" s="18" t="str">
        <x:v>No existe pronóstico meteorológico; no confundir con sunrise-sunset-calculator.</x:v>
      </x:c>
      <x:c r="K20" s="18" t="str">
        <x:v>API que permita uso comercial y caché con atribución; no asumir Open-Meteo gratuito para anuncios.</x:v>
      </x:c>
      <x:c r="L20" s="18" t="str">
        <x:v>Servicio/datos externos: condiciones y cuotas pendientes</x:v>
      </x:c>
      <x:c r="M20" s="18" t="str">
        <x:v>Datos: revisar fuente, licencia y cadencia</x:v>
      </x:c>
      <x:c r="N20" s="18" t="str">
        <x:v>Interfaz en 37 idiomas; idioma no elige país ni reglas. Formatos Intl, RTL y datos/lexicón de idioma con cobertura explícita.</x:v>
      </x:c>
      <x:c r="O20" s="18" t="str">
        <x:v>global-initial-screen.json</x:v>
      </x:c>
      <x:c r="P20" s="18" t="str">
        <x:v>2025-10 / 2026-09</x:v>
      </x:c>
      <x:c r="Q20" s="18" t="str">
        <x:v>L</x:v>
      </x:c>
      <x:c r="R20" s="18" t="str">
        <x:v>UV0704</x:v>
      </x:c>
      <x:c r="S20" s="18" t="str">
        <x:v>https://api.met.no/doc/TermsOfService</x:v>
      </x:c>
    </x:row>
    <x:row r="21" ht="64" customHeight="1">
      <x:c r="A21" s="18" t="n">
        <x:v>5</x:v>
      </x:c>
      <x:c r="B21" s="18" t="str">
        <x:v>Diccionario multilingüe</x:v>
      </x:c>
      <x:c r="C21" s="18" t="str">
        <x:v>dictionary</x:v>
      </x:c>
      <x:c r="D21" s="19" t="n">
        <x:v>3350000</x:v>
      </x:c>
      <x:c r="E21" s="18" t="str">
        <x:v>≥300.000</x:v>
      </x:c>
      <x:c r="F21" s="18" t="str">
        <x:v>Prioridad por demanda; falta viabilidad</x:v>
      </x:c>
      <x:c r="G21" s="18" t="str">
        <x:v>Idiomas</x:v>
      </x:c>
      <x:c r="H21" s="18" t="str">
        <x:v>https://tools.usefulverse.com/tools/dictionary/</x:v>
      </x:c>
      <x:c r="I21" s="18" t="str">
        <x:v>Consultar acepciones, ejemplos y categoría gramatical por lengua elegida.</x:v>
      </x:c>
      <x:c r="J21" s="18" t="str">
        <x:v>No hay consulta de definiciones; no confundir con generar palabras al azar.</x:v>
      </x:c>
      <x:c r="K21" s="18" t="str">
        <x:v>Corpus redistribuible con atribución y actualización versionada.</x:v>
      </x:c>
      <x:c r="L21" s="18" t="str">
        <x:v>Cálculo/editor/juego local propuesto</x:v>
      </x:c>
      <x:c r="M21" s="18" t="str">
        <x:v>Revisar motor, recursos y dependencias</x:v>
      </x:c>
      <x:c r="N21" s="18" t="str">
        <x:v>Interfaz en 37 idiomas; idioma no elige país ni reglas. Formatos Intl, RTL y datos/lexicón de idioma con cobertura explícita.</x:v>
      </x:c>
      <x:c r="O21" s="18" t="str">
        <x:v>global-initial-screen.json</x:v>
      </x:c>
      <x:c r="P21" s="18" t="str">
        <x:v>2025-10 / 2026-09</x:v>
      </x:c>
      <x:c r="Q21" s="18" t="str">
        <x:v>M</x:v>
      </x:c>
      <x:c r="R21" s="18" t="str">
        <x:v>UV0705</x:v>
      </x:c>
      <x:c r="S21" s="18" t="str">
        <x:v>https://www.mediawiki.org/wiki/Wikimedia_APIs/Content_reuse</x:v>
      </x:c>
    </x:row>
    <x:row r="22" ht="64" customHeight="1">
      <x:c r="A22" s="18" t="n">
        <x:v>6</x:v>
      </x:c>
      <x:c r="B22" s="18" t="str">
        <x:v>Generador de letras Unicode</x:v>
      </x:c>
      <x:c r="C22" s="18" t="str">
        <x:v>font generator</x:v>
      </x:c>
      <x:c r="D22" s="19" t="n">
        <x:v>3350000</x:v>
      </x:c>
      <x:c r="E22" s="18" t="str">
        <x:v>≥300.000</x:v>
      </x:c>
      <x:c r="F22" s="18" t="str">
        <x:v>Prioridad por demanda; falta viabilidad</x:v>
      </x:c>
      <x:c r="G22" s="18" t="str">
        <x:v>Creatividad</x:v>
      </x:c>
      <x:c r="H22" s="18" t="str">
        <x:v>https://tools.usefulverse.com/tools/fancy-text-generator/</x:v>
      </x:c>
      <x:c r="I22" s="18" t="str">
        <x:v>Crear estilos de texto Unicode copiables y comparar legibilidad y compatibilidad.</x:v>
      </x:c>
      <x:c r="J22" s="18" t="str">
        <x:v>font-tester previsualiza archivos de fuente; no produce caracteres copiables.</x:v>
      </x:c>
      <x:c r="K22" s="18" t="str">
        <x:v>Advertir caracteres incompatibles y ofrecer texto accesible original.</x:v>
      </x:c>
      <x:c r="L22" s="18" t="str">
        <x:v>Cálculo/editor/juego local propuesto</x:v>
      </x:c>
      <x:c r="M22" s="18" t="str">
        <x:v>Revisar motor, recursos y dependencias</x:v>
      </x:c>
      <x:c r="N22" s="18" t="str">
        <x:v>Interfaz en 37 idiomas; idioma no elige país ni reglas. Formatos Intl, RTL y datos/lexicón de idioma con cobertura explícita.</x:v>
      </x:c>
      <x:c r="O22" s="18" t="str">
        <x:v>global-initial-screen.json</x:v>
      </x:c>
      <x:c r="P22" s="18" t="str">
        <x:v>2025-10 / 2026-09</x:v>
      </x:c>
      <x:c r="Q22" s="18" t="str">
        <x:v>M</x:v>
      </x:c>
      <x:c r="R22" s="18" t="str">
        <x:v>UV0706</x:v>
      </x:c>
      <x:c r="S22" s="18" t="str">
        <x:v>Pendiente de fuente específica antes de implementar</x:v>
      </x:c>
    </x:row>
    <x:row r="23" ht="64" customHeight="1">
      <x:c r="A23" s="18" t="n">
        <x:v>7</x:v>
      </x:c>
      <x:c r="B23" s="18" t="str">
        <x:v>Corrector gramatical</x:v>
      </x:c>
      <x:c r="C23" s="18" t="str">
        <x:v>grammar checker</x:v>
      </x:c>
      <x:c r="D23" s="19" t="n">
        <x:v>3350000</x:v>
      </x:c>
      <x:c r="E23" s="18" t="str">
        <x:v>≥300.000</x:v>
      </x:c>
      <x:c r="F23" s="18" t="str">
        <x:v>Prioridad por demanda; falta viabilidad</x:v>
      </x:c>
      <x:c r="G23" s="18" t="str">
        <x:v>Idiomas</x:v>
      </x:c>
      <x:c r="H23" s="18" t="str">
        <x:v>https://tools.usefulverse.com/tools/grammar-checker/</x:v>
      </x:c>
      <x:c r="I23" s="18" t="str">
        <x:v>Detectar concordancia, puntuación y errores de gramática con explicación y aceptar cambios.</x:v>
      </x:c>
      <x:c r="J23" s="18" t="str">
        <x:v>local-spell-checker solo activa el diccionario del navegador.</x:v>
      </x:c>
      <x:c r="K23" s="18" t="str">
        <x:v>Reglas locales con licencias compatibles; API pública LanguageTool no apta para automatización.</x:v>
      </x:c>
      <x:c r="L23" s="18" t="str">
        <x:v>Modelo local: licencia y rendimiento pendientes</x:v>
      </x:c>
      <x:c r="M23" s="18" t="str">
        <x:v>Revisar motor, recursos y dependencias</x:v>
      </x:c>
      <x:c r="N23" s="18" t="str">
        <x:v>Interfaz en 37 idiomas; idioma no elige país ni reglas. Formatos Intl, RTL y datos/lexicón de idioma con cobertura explícita.</x:v>
      </x:c>
      <x:c r="O23" s="18" t="str">
        <x:v>global-initial-screen.json</x:v>
      </x:c>
      <x:c r="P23" s="18" t="str">
        <x:v>2025-10 / 2026-09</x:v>
      </x:c>
      <x:c r="Q23" s="18" t="str">
        <x:v>L</x:v>
      </x:c>
      <x:c r="R23" s="18" t="str">
        <x:v>UV0707</x:v>
      </x:c>
      <x:c r="S23" s="18" t="str">
        <x:v>https://dev.languagetool.org/public-http-api.html</x:v>
      </x:c>
    </x:row>
    <x:row r="24" ht="64" customHeight="1">
      <x:c r="A24" s="18" t="n">
        <x:v>8</x:v>
      </x:c>
      <x:c r="B24" s="18" t="str">
        <x:v>Panel de sonidos</x:v>
      </x:c>
      <x:c r="C24" s="18" t="str">
        <x:v>soundboard</x:v>
      </x:c>
      <x:c r="D24" s="19" t="n">
        <x:v>3350000</x:v>
      </x:c>
      <x:c r="E24" s="18" t="str">
        <x:v>≥300.000</x:v>
      </x:c>
      <x:c r="F24" s="18" t="str">
        <x:v>Revisar intención antes de priorizar</x:v>
      </x:c>
      <x:c r="G24" s="18" t="str">
        <x:v>Música</x:v>
      </x:c>
      <x:c r="H24" s="18" t="str">
        <x:v>https://tools.usefulverse.com/tools/soundboard/</x:v>
      </x:c>
      <x:c r="I24" s="18" t="str">
        <x:v>Asignar audios propios a pads, disparar y mezclar en tiempo real y guardar un banco.</x:v>
      </x:c>
      <x:c r="J24" s="18" t="str">
        <x:v>drum-machine programa una secuencia fija; soundboard dispara muestras arbitrarias.</x:v>
      </x:c>
      <x:c r="K24" s="18" t="str">
        <x:v>Solo audio del usuario o libre, sin catálogo de clips protegidos.</x:v>
      </x:c>
      <x:c r="L24" s="18" t="str">
        <x:v>Cálculo/editor/juego local propuesto</x:v>
      </x:c>
      <x:c r="M24" s="18" t="str">
        <x:v>Revisar motor, recursos y dependencias</x:v>
      </x:c>
      <x:c r="N24" s="18" t="str">
        <x:v>Interfaz en 37 idiomas; idioma no elige país ni reglas. Formatos Intl, RTL y datos/lexicón de idioma con cobertura explícita.</x:v>
      </x:c>
      <x:c r="O24" s="18" t="str">
        <x:v>global-initial-screen.json</x:v>
      </x:c>
      <x:c r="P24" s="18" t="str">
        <x:v>2025-10 / 2026-09</x:v>
      </x:c>
      <x:c r="Q24" s="18" t="str">
        <x:v>M</x:v>
      </x:c>
      <x:c r="R24" s="18" t="str">
        <x:v>UV0708</x:v>
      </x:c>
      <x:c r="S24" s="18" t="str">
        <x:v>Pendiente de fuente específica antes de implementar</x:v>
      </x:c>
    </x:row>
    <x:row r="25" ht="64" customHeight="1">
      <x:c r="A25" s="18" t="n">
        <x:v>9</x:v>
      </x:c>
      <x:c r="B25" s="18" t="str">
        <x:v>Diccionario de sinónimos</x:v>
      </x:c>
      <x:c r="C25" s="18" t="str">
        <x:v>thesaurus</x:v>
      </x:c>
      <x:c r="D25" s="19" t="n">
        <x:v>2740000</x:v>
      </x:c>
      <x:c r="E25" s="18" t="str">
        <x:v>≥300.000</x:v>
      </x:c>
      <x:c r="F25" s="18" t="str">
        <x:v>Prioridad por demanda; falta viabilidad</x:v>
      </x:c>
      <x:c r="G25" s="18" t="str">
        <x:v>Idiomas</x:v>
      </x:c>
      <x:c r="H25" s="18" t="str">
        <x:v>https://tools.usefulverse.com/tools/thesaurus/</x:v>
      </x:c>
      <x:c r="I25" s="18" t="str">
        <x:v>Buscar sinónimos y antónimos agrupados por sentido y registro.</x:v>
      </x:c>
      <x:c r="J25" s="18" t="str">
        <x:v>No sustituye el diccionario de definiciones ni rhyme-finder de terminaciones.</x:v>
      </x:c>
      <x:c r="K25" s="18" t="str">
        <x:v>Lexicón por idioma y licencia; no usar equivalencias automáticas sin sentido.</x:v>
      </x:c>
      <x:c r="L25" s="18" t="str">
        <x:v>Cálculo/editor/juego local propuesto</x:v>
      </x:c>
      <x:c r="M25" s="18" t="str">
        <x:v>Revisar motor, recursos y dependencias</x:v>
      </x:c>
      <x:c r="N25" s="18" t="str">
        <x:v>Interfaz en 37 idiomas; idioma no elige país ni reglas. Formatos Intl, RTL y datos/lexicón de idioma con cobertura explícita.</x:v>
      </x:c>
      <x:c r="O25" s="18" t="str">
        <x:v>global-initial-screen.json</x:v>
      </x:c>
      <x:c r="P25" s="18" t="str">
        <x:v>2025-10 / 2026-09</x:v>
      </x:c>
      <x:c r="Q25" s="18" t="str">
        <x:v>M</x:v>
      </x:c>
      <x:c r="R25" s="18" t="str">
        <x:v>UV0709</x:v>
      </x:c>
      <x:c r="S25" s="18" t="str">
        <x:v>https://www.mediawiki.org/wiki/Wikimedia_APIs/Content_reuse</x:v>
      </x:c>
    </x:row>
    <x:row r="26" ht="64" customHeight="1">
      <x:c r="A26" s="18" t="n">
        <x:v>10</x:v>
      </x:c>
      <x:c r="B26" s="18" t="str">
        <x:v>Salario neto de Alemania</x:v>
      </x:c>
      <x:c r="C26" s="18" t="str">
        <x:v>brutto netto rechner</x:v>
      </x:c>
      <x:c r="D26" s="19" t="n">
        <x:v>2240000</x:v>
      </x:c>
      <x:c r="E26" s="18" t="str">
        <x:v>≥300.000</x:v>
      </x:c>
      <x:c r="F26" s="18" t="str">
        <x:v>Prioridad por demanda; falta viabilidad</x:v>
      </x:c>
      <x:c r="G26" s="18" t="str">
        <x:v>Finanzas</x:v>
      </x:c>
      <x:c r="H26" s="18" t="str">
        <x:v>https://tools.usefulverse.com/tools/germany-net-salary/</x:v>
      </x:c>
      <x:c r="I26" s="18" t="str">
        <x:v>Estimar neto con clase fiscal, seguros, estado y condiciones declaradas.</x:v>
      </x:c>
      <x:c r="J26" s="18" t="str">
        <x:v>switzerland-net-salary-calculator aplica otras contribuciones y datos.</x:v>
      </x:c>
      <x:c r="K26" s="18" t="str">
        <x:v>Reglas oficiales anuales y límites de cobertura de casos.</x:v>
      </x:c>
      <x:c r="L26" s="18" t="str">
        <x:v>Cálculo/editor/juego local propuesto</x:v>
      </x:c>
      <x:c r="M26" s="18" t="str">
        <x:v>Alta: normativa y tablas por ejercicio</x:v>
      </x:c>
      <x:c r="N26" s="18" t="str">
        <x:v>Interfaz en 37 idiomas; idioma no elige país ni reglas. Jurisdicción y año visibles; fuentes oficiales del país.</x:v>
      </x:c>
      <x:c r="O26" s="18" t="str">
        <x:v>global-candidates.json</x:v>
      </x:c>
      <x:c r="P26" s="18" t="str">
        <x:v>2025-10 / 2026-09</x:v>
      </x:c>
      <x:c r="Q26" s="18" t="str">
        <x:v>L</x:v>
      </x:c>
      <x:c r="R26" s="18" t="str">
        <x:v>UV0710</x:v>
      </x:c>
      <x:c r="S26" s="18" t="str">
        <x:v>https://www.bmf-steuerrechner.de/index.xhtml</x:v>
      </x:c>
    </x:row>
    <x:row r="27" ht="64" customHeight="1">
      <x:c r="A27" s="18" t="n">
        <x:v>11</x:v>
      </x:c>
      <x:c r="B27" s="18" t="str">
        <x:v>Generador de imágenes local</x:v>
      </x:c>
      <x:c r="C27" s="18" t="str">
        <x:v>ai image generator</x:v>
      </x:c>
      <x:c r="D27" s="19" t="n">
        <x:v>2240000</x:v>
      </x:c>
      <x:c r="E27" s="18" t="str">
        <x:v>≥300.000</x:v>
      </x:c>
      <x:c r="F27" s="18" t="str">
        <x:v>Prioridad por demanda; falta viabilidad</x:v>
      </x:c>
      <x:c r="G27" s="18" t="str">
        <x:v>Creatividad</x:v>
      </x:c>
      <x:c r="H27" s="18" t="str">
        <x:v>https://tools.usefulverse.com/tools/local-image-generator/</x:v>
      </x:c>
      <x:c r="I27" s="18" t="str">
        <x:v>Generar imágenes desde una descripción con modelo ejecutado en el dispositivo.</x:v>
      </x:c>
      <x:c r="J27" s="18" t="str">
        <x:v>image-editor transforma una foto; no genera imágenes desde texto.</x:v>
      </x:c>
      <x:c r="K27" s="18" t="str">
        <x:v>Modelo comercial permitido, memoria y rendimiento medidos antes de aprobar.</x:v>
      </x:c>
      <x:c r="L27" s="18" t="str">
        <x:v>Modelo local: licencia y rendimiento pendientes</x:v>
      </x:c>
      <x:c r="M27" s="18" t="str">
        <x:v>Revisar motor, recursos y dependencias</x:v>
      </x:c>
      <x:c r="N27" s="18" t="str">
        <x:v>Interfaz en 37 idiomas; idioma no elige país ni reglas. Formatos Intl, RTL y datos/lexicón de idioma con cobertura explícita.</x:v>
      </x:c>
      <x:c r="O27" s="18" t="str">
        <x:v>global-initial-screen.json</x:v>
      </x:c>
      <x:c r="P27" s="18" t="str">
        <x:v>2025-10 / 2026-09</x:v>
      </x:c>
      <x:c r="Q27" s="18" t="str">
        <x:v>L</x:v>
      </x:c>
      <x:c r="R27" s="18" t="str">
        <x:v>UV0711</x:v>
      </x:c>
      <x:c r="S27" s="18" t="str">
        <x:v>https://github.com/huggingface/transformers.js</x:v>
      </x:c>
    </x:row>
    <x:row r="28" ht="64" customHeight="1">
      <x:c r="A28" s="18" t="n">
        <x:v>12</x:v>
      </x:c>
      <x:c r="B28" s="18" t="str">
        <x:v>Consulta de dominios RDAP</x:v>
      </x:c>
      <x:c r="C28" s="18" t="str">
        <x:v>whois</x:v>
      </x:c>
      <x:c r="D28" s="19" t="n">
        <x:v>1500000</x:v>
      </x:c>
      <x:c r="E28" s="18" t="str">
        <x:v>≥300.000</x:v>
      </x:c>
      <x:c r="F28" s="18" t="str">
        <x:v>Prioridad por demanda; falta viabilidad</x:v>
      </x:c>
      <x:c r="G28" s="18" t="str">
        <x:v>Desarrollo</x:v>
      </x:c>
      <x:c r="H28" s="18" t="str">
        <x:v>https://tools.usefulverse.com/tools/rdap-domain-lookup/</x:v>
      </x:c>
      <x:c r="I28" s="18" t="str">
        <x:v>Consultar registro público RDAP, fechas y registrador con enlaces a la fuente.</x:v>
      </x:c>
      <x:c r="J28" s="18" t="str">
        <x:v>url-parser separa una cadena; no consulta el registro de dominio.</x:v>
      </x:c>
      <x:c r="K28" s="18" t="str">
        <x:v>Endpoints con CORS o solución sin proxy facturable; datos no garantizan disponibilidad.</x:v>
      </x:c>
      <x:c r="L28" s="18" t="str">
        <x:v>Servicio/datos externos: condiciones y cuotas pendientes</x:v>
      </x:c>
      <x:c r="M28" s="18" t="str">
        <x:v>Datos: revisar fuente, licencia y cadencia</x:v>
      </x:c>
      <x:c r="N28" s="18" t="str">
        <x:v>Interfaz en 37 idiomas; idioma no elige país ni reglas. Formatos Intl, RTL y datos/lexicón de idioma con cobertura explícita.</x:v>
      </x:c>
      <x:c r="O28" s="18" t="str">
        <x:v>global-candidates.json</x:v>
      </x:c>
      <x:c r="P28" s="18" t="str">
        <x:v>2025-10 / 2026-09</x:v>
      </x:c>
      <x:c r="Q28" s="18" t="str">
        <x:v>L</x:v>
      </x:c>
      <x:c r="R28" s="18" t="str">
        <x:v>UV0712</x:v>
      </x:c>
      <x:c r="S28" s="18" t="str">
        <x:v>Pendiente de fuente específica antes de implementar</x:v>
      </x:c>
    </x:row>
    <x:row r="29" ht="64" customHeight="1">
      <x:c r="A29" s="18" t="n">
        <x:v>13</x:v>
      </x:c>
      <x:c r="B29" s="18" t="str">
        <x:v>Póker Texas Hold’em de práctica</x:v>
      </x:c>
      <x:c r="C29" s="18" t="str">
        <x:v>poker</x:v>
      </x:c>
      <x:c r="D29" s="19" t="n">
        <x:v>1220000</x:v>
      </x:c>
      <x:c r="E29" s="18" t="str">
        <x:v>≥300.000</x:v>
      </x:c>
      <x:c r="F29" s="18" t="str">
        <x:v>Revisar intención antes de priorizar</x:v>
      </x:c>
      <x:c r="G29" s="18" t="str">
        <x:v>Juegos</x:v>
      </x:c>
      <x:c r="H29" s="18" t="str">
        <x:v>https://tools.usefulverse.com/tools/texas-holdem/</x:v>
      </x:c>
      <x:c r="I29" s="18" t="str">
        <x:v>Jugar manos y apuestas ficticias contra bots con ciegas y evaluación de manos.</x:v>
      </x:c>
      <x:c r="J29" s="18" t="str">
        <x:v>poker-odds-calculator calcula probabilidades; no permite jugar una partida.</x:v>
      </x:c>
      <x:c r="K29" s="18" t="str">
        <x:v>Sin dinero real; separar intención informativa y de juego de apuestas en la validación SEO.</x:v>
      </x:c>
      <x:c r="L29" s="18" t="str">
        <x:v>Cálculo/editor/juego local propuesto</x:v>
      </x:c>
      <x:c r="M29" s="18" t="str">
        <x:v>Revisar motor, recursos y dependencias</x:v>
      </x:c>
      <x:c r="N29" s="18" t="str">
        <x:v>Interfaz en 37 idiomas; idioma no elige país ni reglas. Reglas y variante elegibles; ayudas claras y arte propio.</x:v>
      </x:c>
      <x:c r="O29" s="18" t="str">
        <x:v>global-initial-screen.json</x:v>
      </x:c>
      <x:c r="P29" s="18" t="str">
        <x:v>2025-10 / 2026-09</x:v>
      </x:c>
      <x:c r="Q29" s="18" t="str">
        <x:v>M</x:v>
      </x:c>
      <x:c r="R29" s="18" t="str">
        <x:v>UV0713</x:v>
      </x:c>
      <x:c r="S29" s="18" t="str">
        <x:v>Pendiente de fuente específica antes de implementar</x:v>
      </x:c>
    </x:row>
    <x:row r="30" ht="64" customHeight="1">
      <x:c r="A30" s="18" t="n">
        <x:v>14</x:v>
      </x:c>
      <x:c r="B30" s="18" t="str">
        <x:v>Calidad del aire</x:v>
      </x:c>
      <x:c r="C30" s="18" t="str">
        <x:v>aqi</x:v>
      </x:c>
      <x:c r="D30" s="19" t="n">
        <x:v>1000000</x:v>
      </x:c>
      <x:c r="E30" s="18" t="str">
        <x:v>≥300.000</x:v>
      </x:c>
      <x:c r="F30" s="18" t="str">
        <x:v>Prioridad por demanda; falta viabilidad</x:v>
      </x:c>
      <x:c r="G30" s="18" t="str">
        <x:v>Vida</x:v>
      </x:c>
      <x:c r="H30" s="18" t="str">
        <x:v>https://tools.usefulverse.com/tools/air-quality-dashboard/</x:v>
      </x:c>
      <x:c r="I30" s="18" t="str">
        <x:v>Consultar medidas fechadas y comparar contaminantes e índices por norma seleccionada.</x:v>
      </x:c>
      <x:c r="J30" s="18" t="str">
        <x:v>weather-dashboard pronostica meteorología; la calidad del aire requiere mediciones y estándares distintos.</x:v>
      </x:c>
      <x:c r="K30" s="18" t="str">
        <x:v>Datos con permiso comercial y cobertura, cuota y fecha verificables; no prometer datos donde no existen.</x:v>
      </x:c>
      <x:c r="L30" s="18" t="str">
        <x:v>Servicio/datos externos: condiciones y cuotas pendientes</x:v>
      </x:c>
      <x:c r="M30" s="18" t="str">
        <x:v>Datos: revisar fuente, licencia y cadencia</x:v>
      </x:c>
      <x:c r="N30" s="18" t="str">
        <x:v>Interfaz en 37 idiomas; idioma no elige país ni reglas. Formatos Intl, RTL y datos/lexicón de idioma con cobertura explícita.</x:v>
      </x:c>
      <x:c r="O30" s="18" t="str">
        <x:v>global-extras.json</x:v>
      </x:c>
      <x:c r="P30" s="18" t="str">
        <x:v>2025-10 / 2026-09</x:v>
      </x:c>
      <x:c r="Q30" s="18" t="str">
        <x:v>L</x:v>
      </x:c>
      <x:c r="R30" s="18" t="str">
        <x:v>UV0714</x:v>
      </x:c>
      <x:c r="S30" s="18" t="str">
        <x:v>Pendiente de fuente específica antes de implementar</x:v>
      </x:c>
    </x:row>
    <x:row r="31" ht="64" customHeight="1">
      <x:c r="A31" s="18" t="n">
        <x:v>15</x:v>
      </x:c>
      <x:c r="B31" s="18" t="str">
        <x:v>Parafraseador</x:v>
      </x:c>
      <x:c r="C31" s="18" t="str">
        <x:v>paraphrasing tool</x:v>
      </x:c>
      <x:c r="D31" s="19" t="n">
        <x:v>1000000</x:v>
      </x:c>
      <x:c r="E31" s="18" t="str">
        <x:v>≥300.000</x:v>
      </x:c>
      <x:c r="F31" s="18" t="str">
        <x:v>Prioridad por demanda; falta viabilidad</x:v>
      </x:c>
      <x:c r="G31" s="18" t="str">
        <x:v>Idiomas</x:v>
      </x:c>
      <x:c r="H31" s="18" t="str">
        <x:v>https://tools.usefulverse.com/tools/paraphrasing-tool/</x:v>
      </x:c>
      <x:c r="I31" s="18" t="str">
        <x:v>Reescribir conservando significado y mostrar cambios para aceptar o deshacer.</x:v>
      </x:c>
      <x:c r="J31" s="18" t="str">
        <x:v>text-summarizer extrae frases; esta herramienta transforma la redacción.</x:v>
      </x:c>
      <x:c r="K31" s="18" t="str">
        <x:v>Modelo local compatible y control de cambios de significado; no prometer eludir detectores.</x:v>
      </x:c>
      <x:c r="L31" s="18" t="str">
        <x:v>Modelo local: licencia y rendimiento pendientes</x:v>
      </x:c>
      <x:c r="M31" s="18" t="str">
        <x:v>Revisar motor, recursos y dependencias</x:v>
      </x:c>
      <x:c r="N31" s="18" t="str">
        <x:v>Interfaz en 37 idiomas; idioma no elige país ni reglas. Formatos Intl, RTL y datos/lexicón de idioma con cobertura explícita.</x:v>
      </x:c>
      <x:c r="O31" s="18" t="str">
        <x:v>global-initial-screen.json</x:v>
      </x:c>
      <x:c r="P31" s="18" t="str">
        <x:v>2025-10 / 2026-09</x:v>
      </x:c>
      <x:c r="Q31" s="18" t="str">
        <x:v>L</x:v>
      </x:c>
      <x:c r="R31" s="18" t="str">
        <x:v>UV0715</x:v>
      </x:c>
      <x:c r="S31" s="18" t="str">
        <x:v>https://github.com/huggingface/transformers.js</x:v>
      </x:c>
    </x:row>
    <x:row r="32" ht="64" customHeight="1">
      <x:c r="A32" s="18" t="n">
        <x:v>16</x:v>
      </x:c>
      <x:c r="B32" s="18" t="str">
        <x:v>Colorear e imprimir láminas</x:v>
      </x:c>
      <x:c r="C32" s="18" t="str">
        <x:v>coloring pages</x:v>
      </x:c>
      <x:c r="D32" s="19" t="n">
        <x:v>823000</x:v>
      </x:c>
      <x:c r="E32" s="18" t="str">
        <x:v>≥300.000</x:v>
      </x:c>
      <x:c r="F32" s="18" t="str">
        <x:v>Prioridad por demanda; falta viabilidad</x:v>
      </x:c>
      <x:c r="G32" s="18" t="str">
        <x:v>Creatividad</x:v>
      </x:c>
      <x:c r="H32" s="18" t="str">
        <x:v>https://tools.usefulverse.com/tools/coloring-studio/</x:v>
      </x:c>
      <x:c r="I32" s="18" t="str">
        <x:v>Elegir ilustración original, colorear áreas y exportar lámina vacía o terminada.</x:v>
      </x:c>
      <x:c r="J32" s="18" t="str">
        <x:v>photo-to-sketch filtra una foto; no proporciona una actividad de coloreado interactiva.</x:v>
      </x:c>
      <x:c r="K32" s="18" t="str">
        <x:v>Galería propia o abierta, sin personajes protegidos.</x:v>
      </x:c>
      <x:c r="L32" s="18" t="str">
        <x:v>Cálculo/editor/juego local propuesto</x:v>
      </x:c>
      <x:c r="M32" s="18" t="str">
        <x:v>Revisar motor, recursos y dependencias</x:v>
      </x:c>
      <x:c r="N32" s="18" t="str">
        <x:v>Interfaz en 37 idiomas; idioma no elige país ni reglas. Formatos Intl, RTL y datos/lexicón de idioma con cobertura explícita.</x:v>
      </x:c>
      <x:c r="O32" s="18" t="str">
        <x:v>global-candidates.json</x:v>
      </x:c>
      <x:c r="P32" s="18" t="str">
        <x:v>2025-10 / 2026-09</x:v>
      </x:c>
      <x:c r="Q32" s="18" t="str">
        <x:v>M</x:v>
      </x:c>
      <x:c r="R32" s="18" t="str">
        <x:v>UV0716</x:v>
      </x:c>
      <x:c r="S32" s="18" t="str">
        <x:v>Pendiente de fuente específica antes de implementar</x:v>
      </x:c>
    </x:row>
    <x:row r="33" ht="64" customHeight="1">
      <x:c r="A33" s="18" t="n">
        <x:v>17</x:v>
      </x:c>
      <x:c r="B33" s="18" t="str">
        <x:v>Entorno de ejecución de código</x:v>
      </x:c>
      <x:c r="C33" s="18" t="str">
        <x:v>python compiler</x:v>
      </x:c>
      <x:c r="D33" s="19" t="n">
        <x:v>823000</x:v>
      </x:c>
      <x:c r="E33" s="18" t="str">
        <x:v>≥300.000</x:v>
      </x:c>
      <x:c r="F33" s="18" t="str">
        <x:v>Prioridad por demanda; falta viabilidad</x:v>
      </x:c>
      <x:c r="G33" s="18" t="str">
        <x:v>Desarrollo</x:v>
      </x:c>
      <x:c r="H33" s="18" t="str">
        <x:v>https://tools.usefulverse.com/tools/online-compiler/</x:v>
      </x:c>
      <x:c r="I33" s="18" t="str">
        <x:v>Editar, ejecutar y depurar ejemplos en varios lenguajes soportados con entrada y salida.</x:v>
      </x:c>
      <x:c r="J33" s="18" t="str">
        <x:v>html-css-js-playground es una previsualización web; sqlite-playground solo ejecuta SQL.</x:v>
      </x:c>
      <x:c r="K33" s="18" t="str">
        <x:v>WASM en el cliente; una sola URL para todos los lenguajes, límites CPU y memoria.</x:v>
      </x:c>
      <x:c r="L33" s="18" t="str">
        <x:v>Cálculo/editor/juego local propuesto</x:v>
      </x:c>
      <x:c r="M33" s="18" t="str">
        <x:v>Revisar motor, recursos y dependencias</x:v>
      </x:c>
      <x:c r="N33" s="18" t="str">
        <x:v>Interfaz en 37 idiomas; idioma no elige país ni reglas. Formatos Intl, RTL y datos/lexicón de idioma con cobertura explícita.</x:v>
      </x:c>
      <x:c r="O33" s="18" t="str">
        <x:v>global-initial-screen.json</x:v>
      </x:c>
      <x:c r="P33" s="18" t="str">
        <x:v>2025-10 / 2026-09</x:v>
      </x:c>
      <x:c r="Q33" s="18" t="str">
        <x:v>M</x:v>
      </x:c>
      <x:c r="R33" s="18" t="str">
        <x:v>UV0717</x:v>
      </x:c>
      <x:c r="S33" s="18" t="str">
        <x:v>Pendiente de fuente específica antes de implementar</x:v>
      </x:c>
    </x:row>
    <x:row r="34" ht="64" customHeight="1">
      <x:c r="A34" s="18" t="n">
        <x:v>18</x:v>
      </x:c>
      <x:c r="B34" s="18" t="str">
        <x:v>Radio por Internet</x:v>
      </x:c>
      <x:c r="C34" s="18" t="str">
        <x:v>online radio</x:v>
      </x:c>
      <x:c r="D34" s="19" t="n">
        <x:v>823000</x:v>
      </x:c>
      <x:c r="E34" s="18" t="str">
        <x:v>≥300.000</x:v>
      </x:c>
      <x:c r="F34" s="18" t="str">
        <x:v>Prioridad por demanda; falta viabilidad</x:v>
      </x:c>
      <x:c r="G34" s="18" t="str">
        <x:v>Vida</x:v>
      </x:c>
      <x:c r="H34" s="18" t="str">
        <x:v>https://tools.usefulverse.com/tools/open-radio-player/</x:v>
      </x:c>
      <x:c r="I34" s="18" t="str">
        <x:v>Buscar emisoras públicas por idioma y país y reproducir el stream desde su fuente.</x:v>
      </x:c>
      <x:c r="J34" s="18" t="str">
        <x:v>noise-generator sintetiza ruido; no sintoniza emisiones de terceros.</x:v>
      </x:c>
      <x:c r="K34" s="18" t="str">
        <x:v>Directorio permitido, derechos de cada emisión, HTTPS y compatibilidad de reproducción.</x:v>
      </x:c>
      <x:c r="L34" s="18" t="str">
        <x:v>Servicio/datos externos: condiciones y cuotas pendientes</x:v>
      </x:c>
      <x:c r="M34" s="18" t="str">
        <x:v>Datos: revisar fuente, licencia y cadencia</x:v>
      </x:c>
      <x:c r="N34" s="18" t="str">
        <x:v>Interfaz en 37 idiomas; idioma no elige país ni reglas. Formatos Intl, RTL y datos/lexicón de idioma con cobertura explícita.</x:v>
      </x:c>
      <x:c r="O34" s="18" t="str">
        <x:v>global-extras.json</x:v>
      </x:c>
      <x:c r="P34" s="18" t="str">
        <x:v>2025-10 / 2026-09</x:v>
      </x:c>
      <x:c r="Q34" s="18" t="str">
        <x:v>L</x:v>
      </x:c>
      <x:c r="R34" s="18" t="str">
        <x:v>UV0718</x:v>
      </x:c>
      <x:c r="S34" s="18" t="str">
        <x:v>Pendiente de fuente específica antes de implementar</x:v>
      </x:c>
    </x:row>
    <x:row r="35" ht="64" customHeight="1">
      <x:c r="A35" s="18" t="n">
        <x:v>19</x:v>
      </x:c>
      <x:c r="B35" s="18" t="str">
        <x:v>Dirección de la qibla</x:v>
      </x:c>
      <x:c r="C35" s="18" t="str">
        <x:v>qibla direction</x:v>
      </x:c>
      <x:c r="D35" s="19" t="n">
        <x:v>823000</x:v>
      </x:c>
      <x:c r="E35" s="18" t="str">
        <x:v>≥300.000</x:v>
      </x:c>
      <x:c r="F35" s="18" t="str">
        <x:v>Prioridad por demanda; falta viabilidad</x:v>
      </x:c>
      <x:c r="G35" s="18" t="str">
        <x:v>Vida</x:v>
      </x:c>
      <x:c r="H35" s="18" t="str">
        <x:v>https://tools.usefulverse.com/tools/qibla-compass/</x:v>
      </x:c>
      <x:c r="I35" s="18" t="str">
        <x:v>Calcular rumbo a la Kaaba, mostrar referencia al norte y mapa o brújula opcional.</x:v>
      </x:c>
      <x:c r="J35" s="18" t="str">
        <x:v>prayer-times-calculator calcula horarios; no orienta espacialmente el dispositivo.</x:v>
      </x:c>
      <x:c r="K35" s="18" t="str">
        <x:v>Cálculo local; ubicación manual y límites del magnetómetro visibles.</x:v>
      </x:c>
      <x:c r="L35" s="18" t="str">
        <x:v>Cálculo/editor/juego local propuesto</x:v>
      </x:c>
      <x:c r="M35" s="18" t="str">
        <x:v>Revisar motor, recursos y dependencias</x:v>
      </x:c>
      <x:c r="N35" s="18" t="str">
        <x:v>Interfaz en 37 idiomas; idioma no elige país ni reglas. Formatos Intl, RTL y datos/lexicón de idioma con cobertura explícita.</x:v>
      </x:c>
      <x:c r="O35" s="18" t="str">
        <x:v>discovery-creative-learning.json</x:v>
      </x:c>
      <x:c r="P35" s="18" t="str">
        <x:v>2025-10 / 2026-09</x:v>
      </x:c>
      <x:c r="Q35" s="18" t="str">
        <x:v>M</x:v>
      </x:c>
      <x:c r="R35" s="18" t="str">
        <x:v>UV0719</x:v>
      </x:c>
      <x:c r="S35" s="18" t="str">
        <x:v>Pendiente de fuente específica antes de implementar</x:v>
      </x:c>
    </x:row>
    <x:row r="36" ht="64" customHeight="1">
      <x:c r="A36" s="18" t="n">
        <x:v>20</x:v>
      </x:c>
      <x:c r="B36" s="18" t="str">
        <x:v>Bacará de práctica</x:v>
      </x:c>
      <x:c r="C36" s="18" t="str">
        <x:v>baccarat</x:v>
      </x:c>
      <x:c r="D36" s="19" t="n">
        <x:v>673000</x:v>
      </x:c>
      <x:c r="E36" s="18" t="str">
        <x:v>≥300.000</x:v>
      </x:c>
      <x:c r="F36" s="18" t="str">
        <x:v>Revisar intención antes de priorizar</x:v>
      </x:c>
      <x:c r="G36" s="18" t="str">
        <x:v>Juegos</x:v>
      </x:c>
      <x:c r="H36" s="18" t="str">
        <x:v>https://tools.usefulverse.com/tools/baccarat-practice/</x:v>
      </x:c>
      <x:c r="I36" s="18" t="str">
        <x:v>Simular manos de bacará, elecciones y reglas de tercera carta con fichas ficticias.</x:v>
      </x:c>
      <x:c r="J36" s="18" t="str">
        <x:v>blackjack-game usa otra mecánica; no hay bacará.</x:v>
      </x:c>
      <x:c r="K36" s="18" t="str">
        <x:v>No dinero real ni promesas de ganancia; demanda general puede ser de apuestas.</x:v>
      </x:c>
      <x:c r="L36" s="18" t="str">
        <x:v>Cálculo/editor/juego local propuesto</x:v>
      </x:c>
      <x:c r="M36" s="18" t="str">
        <x:v>Revisar motor, recursos y dependencias</x:v>
      </x:c>
      <x:c r="N36" s="18" t="str">
        <x:v>Interfaz en 37 idiomas; idioma no elige país ni reglas. Reglas y variante elegibles; ayudas claras y arte propio.</x:v>
      </x:c>
      <x:c r="O36" s="18" t="str">
        <x:v>global-initial-screen.json</x:v>
      </x:c>
      <x:c r="P36" s="18" t="str">
        <x:v>2025-10 / 2026-09</x:v>
      </x:c>
      <x:c r="Q36" s="18" t="str">
        <x:v>M</x:v>
      </x:c>
      <x:c r="R36" s="18" t="str">
        <x:v>UV0720</x:v>
      </x:c>
      <x:c r="S36" s="18" t="str">
        <x:v>Pendiente de fuente específica antes de implementar</x:v>
      </x:c>
    </x:row>
    <x:row r="37" ht="64" customHeight="1">
      <x:c r="A37" s="18" t="n">
        <x:v>21</x:v>
      </x:c>
      <x:c r="B37" s="18" t="str">
        <x:v>Cuestionario Big Five</x:v>
      </x:c>
      <x:c r="C37" s="18" t="str">
        <x:v>personality test</x:v>
      </x:c>
      <x:c r="D37" s="19" t="n">
        <x:v>673000</x:v>
      </x:c>
      <x:c r="E37" s="18" t="str">
        <x:v>≥300.000</x:v>
      </x:c>
      <x:c r="F37" s="18" t="str">
        <x:v>Prioridad por demanda; falta viabilidad</x:v>
      </x:c>
      <x:c r="G37" s="18" t="str">
        <x:v>Bienestar</x:v>
      </x:c>
      <x:c r="H37" s="18" t="str">
        <x:v>https://tools.usefulverse.com/tools/big-five-personality-test/</x:v>
      </x:c>
      <x:c r="I37" s="18" t="str">
        <x:v>Responder un inventario abierto y recibir puntuaciones por rasgo con explicación no diagnóstica.</x:v>
      </x:c>
      <x:c r="J37" s="18" t="str">
        <x:v>quiz-maker crea cuestionarios propios; no aplica un instrumento de rasgos validado.</x:v>
      </x:c>
      <x:c r="K37" s="18" t="str">
        <x:v>IPIP y versiones autorizadas; no llamar MBTI a un cuestionario diferente.</x:v>
      </x:c>
      <x:c r="L37" s="18" t="str">
        <x:v>Cálculo/editor/juego local propuesto</x:v>
      </x:c>
      <x:c r="M37" s="18" t="str">
        <x:v>Revisar motor, recursos y dependencias</x:v>
      </x:c>
      <x:c r="N37" s="18" t="str">
        <x:v>Interfaz en 37 idiomas; idioma no elige país ni reglas. Formatos Intl, RTL y datos/lexicón de idioma con cobertura explícita.</x:v>
      </x:c>
      <x:c r="O37" s="18" t="str">
        <x:v>global-initial-screen.json</x:v>
      </x:c>
      <x:c r="P37" s="18" t="str">
        <x:v>2025-10 / 2026-09</x:v>
      </x:c>
      <x:c r="Q37" s="18" t="str">
        <x:v>L</x:v>
      </x:c>
      <x:c r="R37" s="18" t="str">
        <x:v>UV0721</x:v>
      </x:c>
      <x:c r="S37" s="18" t="str">
        <x:v>https://www.ipip.ori.org/</x:v>
      </x:c>
    </x:row>
    <x:row r="38" ht="64" customHeight="1">
      <x:c r="A38" s="18" t="n">
        <x:v>22</x:v>
      </x:c>
      <x:c r="B38" s="18" t="str">
        <x:v>Rummy indio</x:v>
      </x:c>
      <x:c r="C38" s="18" t="str">
        <x:v>rummy</x:v>
      </x:c>
      <x:c r="D38" s="19" t="n">
        <x:v>673000</x:v>
      </x:c>
      <x:c r="E38" s="18" t="str">
        <x:v>≥300.000</x:v>
      </x:c>
      <x:c r="F38" s="18" t="str">
        <x:v>Revisar intención antes de priorizar</x:v>
      </x:c>
      <x:c r="G38" s="18" t="str">
        <x:v>Juegos</x:v>
      </x:c>
      <x:c r="H38" s="18" t="str">
        <x:v>https://tools.usefulverse.com/tools/indian-rummy/</x:v>
      </x:c>
      <x:c r="I38" s="18" t="str">
        <x:v>Jugar rummy de 13 cartas contra bots con secuencias puras y declaración válida.</x:v>
      </x:c>
      <x:c r="J38" s="18" t="str">
        <x:v>gin-rummy y canasta tienen reglas distintas de reparto, validación y puntuación.</x:v>
      </x:c>
      <x:c r="K38" s="18" t="str">
        <x:v>Reglas explicadas; sin apuestas ni premios, y keyword específica preferible a término mixto.</x:v>
      </x:c>
      <x:c r="L38" s="18" t="str">
        <x:v>Cálculo/editor/juego local propuesto</x:v>
      </x:c>
      <x:c r="M38" s="18" t="str">
        <x:v>Revisar motor, recursos y dependencias</x:v>
      </x:c>
      <x:c r="N38" s="18" t="str">
        <x:v>Interfaz en 37 idiomas; idioma no elige país ni reglas. Reglas y variante elegibles; ayudas claras y arte propio.</x:v>
      </x:c>
      <x:c r="O38" s="18" t="str">
        <x:v>global-initial-screen.json</x:v>
      </x:c>
      <x:c r="P38" s="18" t="str">
        <x:v>2025-10 / 2026-09</x:v>
      </x:c>
      <x:c r="Q38" s="18" t="str">
        <x:v>M</x:v>
      </x:c>
      <x:c r="R38" s="18" t="str">
        <x:v>UV0722</x:v>
      </x:c>
      <x:c r="S38" s="18" t="str">
        <x:v>Pendiente de fuente específica antes de implementar</x:v>
      </x:c>
    </x:row>
    <x:row r="39" ht="64" customHeight="1">
      <x:c r="A39" s="18" t="n">
        <x:v>23</x:v>
      </x:c>
      <x:c r="B39" s="18" t="str">
        <x:v>Billar de ocho bolas</x:v>
      </x:c>
      <x:c r="C39" s="18" t="str">
        <x:v>8 ball pool</x:v>
      </x:c>
      <x:c r="D39" s="19" t="n">
        <x:v>673000</x:v>
      </x:c>
      <x:c r="E39" s="18" t="str">
        <x:v>≥300.000</x:v>
      </x:c>
      <x:c r="F39" s="18" t="str">
        <x:v>Revisar intención antes de priorizar</x:v>
      </x:c>
      <x:c r="G39" s="18" t="str">
        <x:v>Juegos</x:v>
      </x:c>
      <x:c r="H39" s="18" t="str">
        <x:v>https://tools.usefulverse.com/tools/pool-game/</x:v>
      </x:c>
      <x:c r="I39" s="18" t="str">
        <x:v>Jugar una partida de billar con física, grupos de bolas y faltas.</x:v>
      </x:c>
      <x:c r="J39" s="18" t="str">
        <x:v>mini-golf-game tiene recorrido y golpes distintos; no hay mesa de billar.</x:v>
      </x:c>
      <x:c r="K39" s="18" t="str">
        <x:v>Arte propio; distinguir consulta genérica de marca de aplicación.</x:v>
      </x:c>
      <x:c r="L39" s="18" t="str">
        <x:v>Cálculo/editor/juego local propuesto</x:v>
      </x:c>
      <x:c r="M39" s="18" t="str">
        <x:v>Revisar motor, recursos y dependencias</x:v>
      </x:c>
      <x:c r="N39" s="18" t="str">
        <x:v>Interfaz en 37 idiomas; idioma no elige país ni reglas. Reglas y variante elegibles; ayudas claras y arte propio.</x:v>
      </x:c>
      <x:c r="O39" s="18" t="str">
        <x:v>global-candidates.json</x:v>
      </x:c>
      <x:c r="P39" s="18" t="str">
        <x:v>2025-10 / 2026-09</x:v>
      </x:c>
      <x:c r="Q39" s="18" t="str">
        <x:v>M</x:v>
      </x:c>
      <x:c r="R39" s="18" t="str">
        <x:v>UV0723</x:v>
      </x:c>
      <x:c r="S39" s="18" t="str">
        <x:v>Pendiente de fuente específica antes de implementar</x:v>
      </x:c>
    </x:row>
    <x:row r="40" ht="64" customHeight="1">
      <x:c r="A40" s="18" t="n">
        <x:v>24</x:v>
      </x:c>
      <x:c r="B40" s="18" t="str">
        <x:v>Diccionario de pronunciación</x:v>
      </x:c>
      <x:c r="C40" s="18" t="str">
        <x:v>pronunciation</x:v>
      </x:c>
      <x:c r="D40" s="19" t="n">
        <x:v>673000</x:v>
      </x:c>
      <x:c r="E40" s="18" t="str">
        <x:v>≥300.000</x:v>
      </x:c>
      <x:c r="F40" s="18" t="str">
        <x:v>Prioridad por demanda; falta viabilidad</x:v>
      </x:c>
      <x:c r="G40" s="18" t="str">
        <x:v>Idiomas</x:v>
      </x:c>
      <x:c r="H40" s="18" t="str">
        <x:v>https://tools.usefulverse.com/tools/pronunciation-dictionary/</x:v>
      </x:c>
      <x:c r="I40" s="18" t="str">
        <x:v>Comparar pronunciaciones de diccionario, acentos y grabaciones citadas.</x:v>
      </x:c>
      <x:c r="J40" s="18" t="str">
        <x:v>text-to-speech sintetiza voz del dispositivo; no aporta pronunciaciones lexicográficas grabadas.</x:v>
      </x:c>
      <x:c r="K40" s="18" t="str">
        <x:v>Audio redistribuible y fuente por entrada; no confundir TTS con grabación humana.</x:v>
      </x:c>
      <x:c r="L40" s="18" t="str">
        <x:v>Cálculo/editor/juego local propuesto</x:v>
      </x:c>
      <x:c r="M40" s="18" t="str">
        <x:v>Revisar motor, recursos y dependencias</x:v>
      </x:c>
      <x:c r="N40" s="18" t="str">
        <x:v>Interfaz en 37 idiomas; idioma no elige país ni reglas. Formatos Intl, RTL y datos/lexicón de idioma con cobertura explícita.</x:v>
      </x:c>
      <x:c r="O40" s="18" t="str">
        <x:v>global-candidates.json</x:v>
      </x:c>
      <x:c r="P40" s="18" t="str">
        <x:v>2025-10 / 2026-09</x:v>
      </x:c>
      <x:c r="Q40" s="18" t="str">
        <x:v>M</x:v>
      </x:c>
      <x:c r="R40" s="18" t="str">
        <x:v>UV0724</x:v>
      </x:c>
      <x:c r="S40" s="18" t="str">
        <x:v>https://www.mediawiki.org/wiki/Wikimedia_APIs/Content_reuse</x:v>
      </x:c>
    </x:row>
    <x:row r="41" ht="64" customHeight="1">
      <x:c r="A41" s="18" t="n">
        <x:v>25</x:v>
      </x:c>
      <x:c r="B41" s="18" t="str">
        <x:v>Ruleta de práctica</x:v>
      </x:c>
      <x:c r="C41" s="18" t="str">
        <x:v>roulette</x:v>
      </x:c>
      <x:c r="D41" s="19" t="n">
        <x:v>673000</x:v>
      </x:c>
      <x:c r="E41" s="18" t="str">
        <x:v>≥300.000</x:v>
      </x:c>
      <x:c r="F41" s="18" t="str">
        <x:v>Revisar intención antes de priorizar</x:v>
      </x:c>
      <x:c r="G41" s="18" t="str">
        <x:v>Juegos</x:v>
      </x:c>
      <x:c r="H41" s="18" t="str">
        <x:v>https://tools.usefulverse.com/tools/roulette-practice/</x:v>
      </x:c>
      <x:c r="I41" s="18" t="str">
        <x:v>Practicar tipos de apuestas, pagos y probabilidades con un tablero propio.</x:v>
      </x:c>
      <x:c r="J41" s="18" t="str">
        <x:v>random-number-generator no ofrece tablero ni reglas de pagos.</x:v>
      </x:c>
      <x:c r="K41" s="18" t="str">
        <x:v>Fichas sin valor, sin premios; comprobar intención específica de simulador.</x:v>
      </x:c>
      <x:c r="L41" s="18" t="str">
        <x:v>Cálculo/editor/juego local propuesto</x:v>
      </x:c>
      <x:c r="M41" s="18" t="str">
        <x:v>Revisar motor, recursos y dependencias</x:v>
      </x:c>
      <x:c r="N41" s="18" t="str">
        <x:v>Interfaz en 37 idiomas; idioma no elige país ni reglas. Reglas y variante elegibles; ayudas claras y arte propio.</x:v>
      </x:c>
      <x:c r="O41" s="18" t="str">
        <x:v>global-candidates.json</x:v>
      </x:c>
      <x:c r="P41" s="18" t="str">
        <x:v>2025-10 / 2026-09</x:v>
      </x:c>
      <x:c r="Q41" s="18" t="str">
        <x:v>M</x:v>
      </x:c>
      <x:c r="R41" s="18" t="str">
        <x:v>UV0725</x:v>
      </x:c>
      <x:c r="S41" s="18" t="str">
        <x:v>Pendiente de fuente específica antes de implementar</x:v>
      </x:c>
    </x:row>
    <x:row r="42" ht="64" customHeight="1">
      <x:c r="A42" s="18" t="n">
        <x:v>26</x:v>
      </x:c>
      <x:c r="B42" s="18" t="str">
        <x:v>Nómina de Estados Unidos</x:v>
      </x:c>
      <x:c r="C42" s="18" t="str">
        <x:v>paycheck calculator</x:v>
      </x:c>
      <x:c r="D42" s="19" t="n">
        <x:v>673000</x:v>
      </x:c>
      <x:c r="E42" s="18" t="str">
        <x:v>≥300.000</x:v>
      </x:c>
      <x:c r="F42" s="18" t="str">
        <x:v>Prioridad por demanda; falta viabilidad</x:v>
      </x:c>
      <x:c r="G42" s="18" t="str">
        <x:v>Finanzas</x:v>
      </x:c>
      <x:c r="H42" s="18" t="str">
        <x:v>https://tools.usefulverse.com/tools/us-paycheck-calculator/</x:v>
      </x:c>
      <x:c r="I42" s="18" t="str">
        <x:v>Estimar neto con retención federal, FICA, estado y deducciones para el año elegido.</x:v>
      </x:c>
      <x:c r="J42" s="18" t="str">
        <x:v>salary-to-hourly-calculator convierte frecuencias; no aplica impuestos y retenciones estadounidenses.</x:v>
      </x:c>
      <x:c r="K42" s="18" t="str">
        <x:v>Tablas oficiales federales y estatales con fecha; no asumir reglas por idioma.</x:v>
      </x:c>
      <x:c r="L42" s="18" t="str">
        <x:v>Cálculo/editor/juego local propuesto</x:v>
      </x:c>
      <x:c r="M42" s="18" t="str">
        <x:v>Alta: normativa y tablas por ejercicio</x:v>
      </x:c>
      <x:c r="N42" s="18" t="str">
        <x:v>Interfaz en 37 idiomas; idioma no elige país ni reglas. Jurisdicción y año visibles; fuentes oficiales del país.</x:v>
      </x:c>
      <x:c r="O42" s="18" t="str">
        <x:v>global-candidates.json</x:v>
      </x:c>
      <x:c r="P42" s="18" t="str">
        <x:v>2025-10 / 2026-09</x:v>
      </x:c>
      <x:c r="Q42" s="18" t="str">
        <x:v>L</x:v>
      </x:c>
      <x:c r="R42" s="18" t="str">
        <x:v>UV0726</x:v>
      </x:c>
      <x:c r="S42" s="18" t="str">
        <x:v>https://www.irs.gov/payments/tax-withholding</x:v>
      </x:c>
    </x:row>
    <x:row r="43" ht="64" customHeight="1">
      <x:c r="A43" s="18" t="n">
        <x:v>27</x:v>
      </x:c>
      <x:c r="B43" s="18" t="str">
        <x:v>Impuesto sobre la renta de India</x:v>
      </x:c>
      <x:c r="C43" s="18" t="str">
        <x:v>income tax calculator</x:v>
      </x:c>
      <x:c r="D43" s="19" t="n">
        <x:v>550000</x:v>
      </x:c>
      <x:c r="E43" s="18" t="str">
        <x:v>≥300.000</x:v>
      </x:c>
      <x:c r="F43" s="18" t="str">
        <x:v>Prioridad por demanda; falta viabilidad</x:v>
      </x:c>
      <x:c r="G43" s="18" t="str">
        <x:v>Finanzas</x:v>
      </x:c>
      <x:c r="H43" s="18" t="str">
        <x:v>https://tools.usefulverse.com/tools/india-income-tax-calculator/</x:v>
      </x:c>
      <x:c r="I43" s="18" t="str">
        <x:v>Comparar regímenes fiscales de India con tramos, deducciones y recargos del ejercicio.</x:v>
      </x:c>
      <x:c r="J43" s="18" t="str">
        <x:v>tax-calculator usa un porcentaje; norway-income-tax-calculator aplica otra legislación.</x:v>
      </x:c>
      <x:c r="K43" s="18" t="str">
        <x:v>Fuentes oficiales del ejercicio y perfil de contribuyente explícito.</x:v>
      </x:c>
      <x:c r="L43" s="18" t="str">
        <x:v>Cálculo/editor/juego local propuesto</x:v>
      </x:c>
      <x:c r="M43" s="18" t="str">
        <x:v>Alta: normativa y tablas por ejercicio</x:v>
      </x:c>
      <x:c r="N43" s="18" t="str">
        <x:v>Interfaz en 37 idiomas; idioma no elige país ni reglas. Jurisdicción y año visibles; fuentes oficiales del país.</x:v>
      </x:c>
      <x:c r="O43" s="18" t="str">
        <x:v>global-candidates.json</x:v>
      </x:c>
      <x:c r="P43" s="18" t="str">
        <x:v>2025-10 / 2026-09</x:v>
      </x:c>
      <x:c r="Q43" s="18" t="str">
        <x:v>L</x:v>
      </x:c>
      <x:c r="R43" s="18" t="str">
        <x:v>UV0727</x:v>
      </x:c>
      <x:c r="S43" s="18" t="str">
        <x:v>Pendiente de fuente específica antes de implementar</x:v>
      </x:c>
    </x:row>
    <x:row r="44" ht="64" customHeight="1">
      <x:c r="A44" s="18" t="n">
        <x:v>28</x:v>
      </x:c>
      <x:c r="B44" s="18" t="str">
        <x:v>Yo nunca</x:v>
      </x:c>
      <x:c r="C44" s="18" t="str">
        <x:v>never have i ever</x:v>
      </x:c>
      <x:c r="D44" s="19" t="n">
        <x:v>550000</x:v>
      </x:c>
      <x:c r="E44" s="18" t="str">
        <x:v>≥300.000</x:v>
      </x:c>
      <x:c r="F44" s="18" t="str">
        <x:v>Prioridad por demanda; falta viabilidad</x:v>
      </x:c>
      <x:c r="G44" s="18" t="str">
        <x:v>Juegos</x:v>
      </x:c>
      <x:c r="H44" s="18" t="str">
        <x:v>https://tools.usefulverse.com/tools/never-have-i-ever/</x:v>
      </x:c>
      <x:c r="I44" s="18" t="str">
        <x:v>Proponer situaciones por categoría y gestionar turnos y puntuación opcional.</x:v>
      </x:c>
      <x:c r="J44" s="18" t="str">
        <x:v>truth-or-dare alterna preguntas y acciones; aquí se responde a experiencias.</x:v>
      </x:c>
      <x:c r="K44" s="18" t="str">
        <x:v>Preguntas propias y modo familiar; no fomentar consumo de alcohol.</x:v>
      </x:c>
      <x:c r="L44" s="18" t="str">
        <x:v>Cálculo/editor/juego local propuesto</x:v>
      </x:c>
      <x:c r="M44" s="18" t="str">
        <x:v>Revisar motor, recursos y dependencias</x:v>
      </x:c>
      <x:c r="N44" s="18" t="str">
        <x:v>Interfaz en 37 idiomas; idioma no elige país ni reglas. Reglas y variante elegibles; ayudas claras y arte propio.</x:v>
      </x:c>
      <x:c r="O44" s="18" t="str">
        <x:v>global-initial-screen.json</x:v>
      </x:c>
      <x:c r="P44" s="18" t="str">
        <x:v>2025-10 / 2026-09</x:v>
      </x:c>
      <x:c r="Q44" s="18" t="str">
        <x:v>M</x:v>
      </x:c>
      <x:c r="R44" s="18" t="str">
        <x:v>UV0728</x:v>
      </x:c>
      <x:c r="S44" s="18" t="str">
        <x:v>Pendiente de fuente específica antes de implementar</x:v>
      </x:c>
    </x:row>
    <x:row r="45" ht="64" customHeight="1">
      <x:c r="A45" s="18" t="n">
        <x:v>29</x:v>
      </x:c>
      <x:c r="B45" s="18" t="str">
        <x:v>Panchang diario</x:v>
      </x:c>
      <x:c r="C45" s="18" t="str">
        <x:v>panchang aaj ka</x:v>
      </x:c>
      <x:c r="D45" s="19" t="n">
        <x:v>550000</x:v>
      </x:c>
      <x:c r="E45" s="18" t="str">
        <x:v>≥300.000</x:v>
      </x:c>
      <x:c r="F45" s="18" t="str">
        <x:v>Prioridad por demanda; falta viabilidad</x:v>
      </x:c>
      <x:c r="G45" s="18" t="str">
        <x:v>Vida</x:v>
      </x:c>
      <x:c r="H45" s="18" t="str">
        <x:v>https://tools.usefulverse.com/tools/panchang-calendar/</x:v>
      </x:c>
      <x:c r="I45" s="18" t="str">
        <x:v>Calcular tithi, nakshatra, yoga, karana y día solar para fecha, ubicación y convención elegidas.</x:v>
      </x:c>
      <x:c r="J45" s="18" t="str">
        <x:v>printable-calendar-maker no calcula estos elementos astronómicos; no es otra traducción del calendario mensual.</x:v>
      </x:c>
      <x:c r="K45" s="18" t="str">
        <x:v>Efemérides abiertas y convención regional explícita, sin afirmar predicciones científicas.</x:v>
      </x:c>
      <x:c r="L45" s="18" t="str">
        <x:v>Cálculo/editor/juego local propuesto</x:v>
      </x:c>
      <x:c r="M45" s="18" t="str">
        <x:v>Revisar motor, recursos y dependencias</x:v>
      </x:c>
      <x:c r="N45" s="18" t="str">
        <x:v>Interfaz en 37 idiomas; idioma no elige país ni reglas. Formatos Intl, RTL y datos/lexicón de idioma con cobertura explícita.</x:v>
      </x:c>
      <x:c r="O45" s="18" t="str">
        <x:v>global-final-screen.json</x:v>
      </x:c>
      <x:c r="P45" s="18" t="str">
        <x:v>2025-10 / 2026-09</x:v>
      </x:c>
      <x:c r="Q45" s="18" t="str">
        <x:v>M</x:v>
      </x:c>
      <x:c r="R45" s="18" t="str">
        <x:v>UV0729</x:v>
      </x:c>
      <x:c r="S45" s="18" t="str">
        <x:v>Pendiente de fuente específica antes de implementar</x:v>
      </x:c>
    </x:row>
    <x:row r="46" ht="64" customHeight="1">
      <x:c r="A46" s="18" t="n">
        <x:v>30</x:v>
      </x:c>
      <x:c r="B46" s="18" t="str">
        <x:v>Cambiador de fondo fotográfico</x:v>
      </x:c>
      <x:c r="C46" s="18" t="str">
        <x:v>photo background changer</x:v>
      </x:c>
      <x:c r="D46" s="19" t="n">
        <x:v>550000</x:v>
      </x:c>
      <x:c r="E46" s="18" t="str">
        <x:v>≥300.000</x:v>
      </x:c>
      <x:c r="F46" s="18" t="str">
        <x:v>Prioridad por demanda; falta viabilidad</x:v>
      </x:c>
      <x:c r="G46" s="18" t="str">
        <x:v>Creatividad</x:v>
      </x:c>
      <x:c r="H46" s="18" t="str">
        <x:v>https://tools.usefulverse.com/tools/photo-background-changer/</x:v>
      </x:c>
      <x:c r="I46" s="18" t="str">
        <x:v>Componer sujeto recortado con un nuevo fondo, ajustar escala, bordes y sombras.</x:v>
      </x:c>
      <x:c r="J46" s="18" t="str">
        <x:v>portrait-background-remover solo elimina el fondo; no realiza la composición final.</x:v>
      </x:c>
      <x:c r="K46" s="18" t="str">
        <x:v>Segmentación local con licencia y casos no humanos delimitados.</x:v>
      </x:c>
      <x:c r="L46" s="18" t="str">
        <x:v>Modelo local: licencia y rendimiento pendientes</x:v>
      </x:c>
      <x:c r="M46" s="18" t="str">
        <x:v>Revisar motor, recursos y dependencias</x:v>
      </x:c>
      <x:c r="N46" s="18" t="str">
        <x:v>Interfaz en 37 idiomas; idioma no elige país ni reglas. Formatos Intl, RTL y datos/lexicón de idioma con cobertura explícita.</x:v>
      </x:c>
      <x:c r="O46" s="18" t="str">
        <x:v>global-candidates.json</x:v>
      </x:c>
      <x:c r="P46" s="18" t="str">
        <x:v>2025-10 / 2026-09</x:v>
      </x:c>
      <x:c r="Q46" s="18" t="str">
        <x:v>L</x:v>
      </x:c>
      <x:c r="R46" s="18" t="str">
        <x:v>UV0730</x:v>
      </x:c>
      <x:c r="S46" s="18" t="str">
        <x:v>https://github.com/huggingface/transformers.js</x:v>
      </x:c>
    </x:row>
    <x:row r="47" ht="64" customHeight="1">
      <x:c r="A47" s="18" t="n">
        <x:v>31</x:v>
      </x:c>
      <x:c r="B47" s="18" t="str">
        <x:v>Solucionador de cubo 3×3</x:v>
      </x:c>
      <x:c r="C47" s="18" t="str">
        <x:v>rubiks cube solver</x:v>
      </x:c>
      <x:c r="D47" s="19" t="n">
        <x:v>550000</x:v>
      </x:c>
      <x:c r="E47" s="18" t="str">
        <x:v>≥300.000</x:v>
      </x:c>
      <x:c r="F47" s="18" t="str">
        <x:v>Prioridad por demanda; falta viabilidad</x:v>
      </x:c>
      <x:c r="G47" s="18" t="str">
        <x:v>Juegos</x:v>
      </x:c>
      <x:c r="H47" s="18" t="str">
        <x:v>https://tools.usefulverse.com/tools/rubiks-cube-solver/</x:v>
      </x:c>
      <x:c r="I47" s="18" t="str">
        <x:v>Introducir colores, validar una configuración alcanzable y animar pasos de solución.</x:v>
      </x:c>
      <x:c r="J47" s="18" t="str">
        <x:v>No existe puzzle ni solucionador de cubo tridimensional.</x:v>
      </x:c>
      <x:c r="K47" s="18" t="str">
        <x:v>Algoritmo local, gráficos propios y referencia descriptiva de compatibilidad.</x:v>
      </x:c>
      <x:c r="L47" s="18" t="str">
        <x:v>Cálculo/editor/juego local propuesto</x:v>
      </x:c>
      <x:c r="M47" s="18" t="str">
        <x:v>Revisar motor, recursos y dependencias</x:v>
      </x:c>
      <x:c r="N47" s="18" t="str">
        <x:v>Interfaz en 37 idiomas; idioma no elige país ni reglas. Reglas y variante elegibles; ayudas claras y arte propio.</x:v>
      </x:c>
      <x:c r="O47" s="18" t="str">
        <x:v>global-initial-screen.json</x:v>
      </x:c>
      <x:c r="P47" s="18" t="str">
        <x:v>2025-10 / 2026-09</x:v>
      </x:c>
      <x:c r="Q47" s="18" t="str">
        <x:v>M</x:v>
      </x:c>
      <x:c r="R47" s="18" t="str">
        <x:v>UV0731</x:v>
      </x:c>
      <x:c r="S47" s="18" t="str">
        <x:v>Pendiente de fuente específica antes de implementar</x:v>
      </x:c>
    </x:row>
    <x:row r="48" ht="64" customHeight="1">
      <x:c r="A48" s="18" t="n">
        <x:v>32</x:v>
      </x:c>
      <x:c r="B48" s="18" t="str">
        <x:v>Editor de vídeo por pistas</x:v>
      </x:c>
      <x:c r="C48" s="18" t="str">
        <x:v>video editor</x:v>
      </x:c>
      <x:c r="D48" s="19" t="n">
        <x:v>550000</x:v>
      </x:c>
      <x:c r="E48" s="18" t="str">
        <x:v>≥300.000</x:v>
      </x:c>
      <x:c r="F48" s="18" t="str">
        <x:v>Prioridad por demanda; falta viabilidad</x:v>
      </x:c>
      <x:c r="G48" s="18" t="str">
        <x:v>Creatividad</x:v>
      </x:c>
      <x:c r="H48" s="18" t="str">
        <x:v>https://tools.usefulverse.com/tools/video-editor/</x:v>
      </x:c>
      <x:c r="I48" s="18" t="str">
        <x:v>Montar varios clips con pistas de audio, títulos, cortes y exportación.</x:v>
      </x:c>
      <x:c r="J48" s="18" t="str">
        <x:v>media-converter convierte y recorta un clip; no monta una línea de tiempo multipista.</x:v>
      </x:c>
      <x:c r="K48" s="18" t="str">
        <x:v>WebCodecs o WASM local, formatos y límites de memoria explícitos.</x:v>
      </x:c>
      <x:c r="L48" s="18" t="str">
        <x:v>Cálculo/editor/juego local propuesto</x:v>
      </x:c>
      <x:c r="M48" s="18" t="str">
        <x:v>Revisar motor, recursos y dependencias</x:v>
      </x:c>
      <x:c r="N48" s="18" t="str">
        <x:v>Interfaz en 37 idiomas; idioma no elige país ni reglas. Formatos Intl, RTL y datos/lexicón de idioma con cobertura explícita.</x:v>
      </x:c>
      <x:c r="O48" s="18" t="str">
        <x:v>global-initial-screen.json</x:v>
      </x:c>
      <x:c r="P48" s="18" t="str">
        <x:v>2025-10 / 2026-09</x:v>
      </x:c>
      <x:c r="Q48" s="18" t="str">
        <x:v>M</x:v>
      </x:c>
      <x:c r="R48" s="18" t="str">
        <x:v>UV0732</x:v>
      </x:c>
      <x:c r="S48" s="18" t="str">
        <x:v>Pendiente de fuente específica antes de implementar</x:v>
      </x:c>
    </x:row>
    <x:row r="49" ht="64" customHeight="1">
      <x:c r="A49" s="18" t="n">
        <x:v>33</x:v>
      </x:c>
      <x:c r="B49" s="18" t="str">
        <x:v>Cribado de síntomas TDAH adulto</x:v>
      </x:c>
      <x:c r="C49" s="18" t="str">
        <x:v>adhd test</x:v>
      </x:c>
      <x:c r="D49" s="19" t="n">
        <x:v>450000</x:v>
      </x:c>
      <x:c r="E49" s="18" t="str">
        <x:v>≥300.000</x:v>
      </x:c>
      <x:c r="F49" s="18" t="str">
        <x:v>Prioridad por demanda; falta viabilidad</x:v>
      </x:c>
      <x:c r="G49" s="18" t="str">
        <x:v>Bienestar</x:v>
      </x:c>
      <x:c r="H49" s="18" t="str">
        <x:v>https://tools.usefulverse.com/tools/adult-adhd-screener/</x:v>
      </x:c>
      <x:c r="I49" s="18" t="str">
        <x:v>Administrar una versión autorizada de ASRS y explicar que el resultado requiere evaluación profesional.</x:v>
      </x:c>
      <x:c r="J49" s="18" t="str">
        <x:v>memory-test es un juego de recuerdo y no un cuestionario clínico.</x:v>
      </x:c>
      <x:c r="K49" s="18" t="str">
        <x:v>Licencia y traducciones oficiales pendientes; no usar traducción automática del instrumento.</x:v>
      </x:c>
      <x:c r="L49" s="18" t="str">
        <x:v>Cálculo/editor/juego local propuesto</x:v>
      </x:c>
      <x:c r="M49" s="18" t="str">
        <x:v>Revisar motor, recursos y dependencias</x:v>
      </x:c>
      <x:c r="N49" s="18" t="str">
        <x:v>Interfaz en 37 idiomas; idioma no elige país ni reglas. Formatos Intl, RTL y datos/lexicón de idioma con cobertura explícita.</x:v>
      </x:c>
      <x:c r="O49" s="18" t="str">
        <x:v>global-initial-screen.json</x:v>
      </x:c>
      <x:c r="P49" s="18" t="str">
        <x:v>2025-10 / 2026-09</x:v>
      </x:c>
      <x:c r="Q49" s="18" t="str">
        <x:v>L</x:v>
      </x:c>
      <x:c r="R49" s="18" t="str">
        <x:v>UV0733</x:v>
      </x:c>
      <x:c r="S49" s="18" t="str">
        <x:v>Pendiente de fuente específica antes de implementar</x:v>
      </x:c>
    </x:row>
    <x:row r="50" ht="64" customHeight="1">
      <x:c r="A50" s="18" t="n">
        <x:v>34</x:v>
      </x:c>
      <x:c r="B50" s="18" t="str">
        <x:v>Liquidación laboral de Brasil</x:v>
      </x:c>
      <x:c r="C50" s="18" t="str">
        <x:v>calculadora rescisão</x:v>
      </x:c>
      <x:c r="D50" s="19" t="n">
        <x:v>450000</x:v>
      </x:c>
      <x:c r="E50" s="18" t="str">
        <x:v>≥300.000</x:v>
      </x:c>
      <x:c r="F50" s="18" t="str">
        <x:v>Prioridad por demanda; falta viabilidad</x:v>
      </x:c>
      <x:c r="G50" s="18" t="str">
        <x:v>Finanzas</x:v>
      </x:c>
      <x:c r="H50" s="18" t="str">
        <x:v>https://tools.usefulverse.com/tools/brazil-termination-calculator/</x:v>
      </x:c>
      <x:c r="I50" s="18" t="str">
        <x:v>Desglosar saldo salarial, aviso, vacaciones, décimo tercero y FGTS según causa de salida.</x:v>
      </x:c>
      <x:c r="J50" s="18" t="str">
        <x:v>severance-pay-calculator usa días de indemnización aportados; no aplica CLT y FGTS.</x:v>
      </x:c>
      <x:c r="K50" s="18" t="str">
        <x:v>Legislación oficial actualizada; no calcular conceptos sin datos necesarios.</x:v>
      </x:c>
      <x:c r="L50" s="18" t="str">
        <x:v>Cálculo/editor/juego local propuesto</x:v>
      </x:c>
      <x:c r="M50" s="18" t="str">
        <x:v>Alta: normativa y tablas por ejercicio</x:v>
      </x:c>
      <x:c r="N50" s="18" t="str">
        <x:v>Interfaz en 37 idiomas; idioma no elige país ni reglas. Jurisdicción y año visibles; fuentes oficiales del país.</x:v>
      </x:c>
      <x:c r="O50" s="18" t="str">
        <x:v>global-refinement.json</x:v>
      </x:c>
      <x:c r="P50" s="18" t="str">
        <x:v>2025-10 / 2026-09</x:v>
      </x:c>
      <x:c r="Q50" s="18" t="str">
        <x:v>L</x:v>
      </x:c>
      <x:c r="R50" s="18" t="str">
        <x:v>UV0734</x:v>
      </x:c>
      <x:c r="S50" s="18" t="str">
        <x:v>https://www.gov.br/trabalho-e-emprego/pt-br/acesso-a-informacao/acoes-e-programas/programas-projetos-acoes-obras-e-atividades/proteja/duvidas-frequentes</x:v>
      </x:c>
    </x:row>
    <x:row r="51" ht="64" customHeight="1">
      <x:c r="A51" s="18" t="n">
        <x:v>35</x:v>
      </x:c>
      <x:c r="B51" s="18" t="str">
        <x:v>Zodiaco chino por calendario</x:v>
      </x:c>
      <x:c r="C51" s="18" t="str">
        <x:v>chinese zodiac</x:v>
      </x:c>
      <x:c r="D51" s="19" t="n">
        <x:v>450000</x:v>
      </x:c>
      <x:c r="E51" s="18" t="str">
        <x:v>≥300.000</x:v>
      </x:c>
      <x:c r="F51" s="18" t="str">
        <x:v>Prioridad por demanda; falta viabilidad</x:v>
      </x:c>
      <x:c r="G51" s="18" t="str">
        <x:v>Vida</x:v>
      </x:c>
      <x:c r="H51" s="18" t="str">
        <x:v>https://tools.usefulverse.com/tools/chinese-zodiac/</x:v>
      </x:c>
      <x:c r="I51" s="18" t="str">
        <x:v>Determinar el año zodiacal usando el cambio de año lunar y mostrar la fecha de referencia.</x:v>
      </x:c>
      <x:c r="J51" s="18" t="str">
        <x:v>No es solo convertir fechas en el calendario persa o hijri existente.</x:v>
      </x:c>
      <x:c r="K51" s="18" t="str">
        <x:v>Reglas calendáricas documentadas; interpretación simbólica como entretenimiento.</x:v>
      </x:c>
      <x:c r="L51" s="18" t="str">
        <x:v>Cálculo/editor/juego local propuesto</x:v>
      </x:c>
      <x:c r="M51" s="18" t="str">
        <x:v>Revisar motor, recursos y dependencias</x:v>
      </x:c>
      <x:c r="N51" s="18" t="str">
        <x:v>Interfaz en 37 idiomas; idioma no elige país ni reglas. Formatos Intl, RTL y datos/lexicón de idioma con cobertura explícita.</x:v>
      </x:c>
      <x:c r="O51" s="18" t="str">
        <x:v>global-extras.json</x:v>
      </x:c>
      <x:c r="P51" s="18" t="str">
        <x:v>2025-10 / 2026-09</x:v>
      </x:c>
      <x:c r="Q51" s="18" t="str">
        <x:v>M</x:v>
      </x:c>
      <x:c r="R51" s="18" t="str">
        <x:v>UV0735</x:v>
      </x:c>
      <x:c r="S51" s="18" t="str">
        <x:v>Pendiente de fuente específica antes de implementar</x:v>
      </x:c>
    </x:row>
    <x:row r="52" ht="64" customHeight="1">
      <x:c r="A52" s="18" t="n">
        <x:v>36</x:v>
      </x:c>
      <x:c r="B52" s="18" t="str">
        <x:v>Comprobación de discriminación de color</x:v>
      </x:c>
      <x:c r="C52" s="18" t="str">
        <x:v>color blind test</x:v>
      </x:c>
      <x:c r="D52" s="19" t="n">
        <x:v>450000</x:v>
      </x:c>
      <x:c r="E52" s="18" t="str">
        <x:v>≥300.000</x:v>
      </x:c>
      <x:c r="F52" s="18" t="str">
        <x:v>Prioridad por demanda; falta viabilidad</x:v>
      </x:c>
      <x:c r="G52" s="18" t="str">
        <x:v>Bienestar</x:v>
      </x:c>
      <x:c r="H52" s="18" t="str">
        <x:v>https://tools.usefulverse.com/tools/color-vision-check/</x:v>
      </x:c>
      <x:c r="I52" s="18" t="str">
        <x:v>Administrar un conjunto de estímulos autorizado y explicar límites de pantalla y resultado.</x:v>
      </x:c>
      <x:c r="J52" s="18" t="str">
        <x:v>color-vision-simulator transforma imágenes; no recoge respuestas a una prueba.</x:v>
      </x:c>
      <x:c r="K52" s="18" t="str">
        <x:v>No reproducir láminas clínicas sin permiso ni llamar validado a un test inventado.</x:v>
      </x:c>
      <x:c r="L52" s="18" t="str">
        <x:v>Cálculo/editor/juego local propuesto</x:v>
      </x:c>
      <x:c r="M52" s="18" t="str">
        <x:v>Revisar motor, recursos y dependencias</x:v>
      </x:c>
      <x:c r="N52" s="18" t="str">
        <x:v>Interfaz en 37 idiomas; idioma no elige país ni reglas. Formatos Intl, RTL y datos/lexicón de idioma con cobertura explícita.</x:v>
      </x:c>
      <x:c r="O52" s="18" t="str">
        <x:v>global-initial-screen.json</x:v>
      </x:c>
      <x:c r="P52" s="18" t="str">
        <x:v>2025-10 / 2026-09</x:v>
      </x:c>
      <x:c r="Q52" s="18" t="str">
        <x:v>L</x:v>
      </x:c>
      <x:c r="R52" s="18" t="str">
        <x:v>UV0736</x:v>
      </x:c>
      <x:c r="S52" s="18" t="str">
        <x:v>Pendiente de fuente específica antes de implementar</x:v>
      </x:c>
    </x:row>
    <x:row r="53" ht="64" customHeight="1">
      <x:c r="A53" s="18" t="n">
        <x:v>37</x:v>
      </x:c>
      <x:c r="B53" s="18" t="str">
        <x:v>Identificador de tipografías</x:v>
      </x:c>
      <x:c r="C53" s="18" t="str">
        <x:v>font finder</x:v>
      </x:c>
      <x:c r="D53" s="19" t="n">
        <x:v>450000</x:v>
      </x:c>
      <x:c r="E53" s="18" t="str">
        <x:v>≥300.000</x:v>
      </x:c>
      <x:c r="F53" s="18" t="str">
        <x:v>Prioridad por demanda; falta viabilidad</x:v>
      </x:c>
      <x:c r="G53" s="18" t="str">
        <x:v>Creatividad</x:v>
      </x:c>
      <x:c r="H53" s="18" t="str">
        <x:v>https://tools.usefulverse.com/tools/font-identifier/</x:v>
      </x:c>
      <x:c r="I53" s="18" t="str">
        <x:v>Comparar una muestra con un catálogo tipográfico autorizado y devolver candidatos.</x:v>
      </x:c>
      <x:c r="J53" s="18" t="str">
        <x:v>font-pairing-tool combina fuentes; no reconoce una tipografía de una muestra.</x:v>
      </x:c>
      <x:c r="K53" s="18" t="str">
        <x:v>Índice abierto descargable; no prometer identificar cualquier fuente.</x:v>
      </x:c>
      <x:c r="L53" s="18" t="str">
        <x:v>Modelo local: licencia y rendimiento pendientes</x:v>
      </x:c>
      <x:c r="M53" s="18" t="str">
        <x:v>Revisar motor, recursos y dependencias</x:v>
      </x:c>
      <x:c r="N53" s="18" t="str">
        <x:v>Interfaz en 37 idiomas; idioma no elige país ni reglas. Formatos Intl, RTL y datos/lexicón de idioma con cobertura explícita.</x:v>
      </x:c>
      <x:c r="O53" s="18" t="str">
        <x:v>global-candidates.json</x:v>
      </x:c>
      <x:c r="P53" s="18" t="str">
        <x:v>2025-10 / 2026-09</x:v>
      </x:c>
      <x:c r="Q53" s="18" t="str">
        <x:v>L</x:v>
      </x:c>
      <x:c r="R53" s="18" t="str">
        <x:v>UV0737</x:v>
      </x:c>
      <x:c r="S53" s="18" t="str">
        <x:v>https://github.com/huggingface/transformers.js</x:v>
      </x:c>
    </x:row>
    <x:row r="54" ht="64" customHeight="1">
      <x:c r="A54" s="18" t="n">
        <x:v>38</x:v>
      </x:c>
      <x:c r="B54" s="18" t="str">
        <x:v>Comprobador de mandos</x:v>
      </x:c>
      <x:c r="C54" s="18" t="str">
        <x:v>gamepad tester</x:v>
      </x:c>
      <x:c r="D54" s="19" t="n">
        <x:v>450000</x:v>
      </x:c>
      <x:c r="E54" s="18" t="str">
        <x:v>≥300.000</x:v>
      </x:c>
      <x:c r="F54" s="18" t="str">
        <x:v>Prioridad por demanda; falta viabilidad</x:v>
      </x:c>
      <x:c r="G54" s="18" t="str">
        <x:v>Desarrollo</x:v>
      </x:c>
      <x:c r="H54" s="18" t="str">
        <x:v>https://tools.usefulverse.com/tools/gamepad-tester/</x:v>
      </x:c>
      <x:c r="I54" s="18" t="str">
        <x:v>Visualizar botones, ejes, zona muerta y vibración de un mando conectado.</x:v>
      </x:c>
      <x:c r="J54" s="18" t="str">
        <x:v>keyboard-tester y mouse-tester no acceden a Gamepad API.</x:v>
      </x:c>
      <x:c r="K54" s="18" t="str">
        <x:v>Compatibilidad del navegador y permisos físicos explícitos.</x:v>
      </x:c>
      <x:c r="L54" s="18" t="str">
        <x:v>Cálculo/editor/juego local propuesto</x:v>
      </x:c>
      <x:c r="M54" s="18" t="str">
        <x:v>Revisar motor, recursos y dependencias</x:v>
      </x:c>
      <x:c r="N54" s="18" t="str">
        <x:v>Interfaz en 37 idiomas; idioma no elige país ni reglas. Formatos Intl, RTL y datos/lexicón de idioma con cobertura explícita.</x:v>
      </x:c>
      <x:c r="O54" s="18" t="str">
        <x:v>global-candidates.json</x:v>
      </x:c>
      <x:c r="P54" s="18" t="str">
        <x:v>2025-10 / 2026-09</x:v>
      </x:c>
      <x:c r="Q54" s="18" t="str">
        <x:v>M</x:v>
      </x:c>
      <x:c r="R54" s="18" t="str">
        <x:v>UV0738</x:v>
      </x:c>
      <x:c r="S54" s="18" t="str">
        <x:v>Pendiente de fuente específica antes de implementar</x:v>
      </x:c>
    </x:row>
    <x:row r="55" ht="64" customHeight="1">
      <x:c r="A55" s="18" t="n">
        <x:v>39</x:v>
      </x:c>
      <x:c r="B55" s="18" t="str">
        <x:v>Distancia geográfica</x:v>
      </x:c>
      <x:c r="C55" s="18" t="str">
        <x:v>distance calculator</x:v>
      </x:c>
      <x:c r="D55" s="19" t="n">
        <x:v>450000</x:v>
      </x:c>
      <x:c r="E55" s="18" t="str">
        <x:v>≥300.000</x:v>
      </x:c>
      <x:c r="F55" s="18" t="str">
        <x:v>Prioridad por demanda; falta viabilidad</x:v>
      </x:c>
      <x:c r="G55" s="18" t="str">
        <x:v>Ciencia</x:v>
      </x:c>
      <x:c r="H55" s="18" t="str">
        <x:v>https://tools.usefulverse.com/tools/geographic-distance-calculator/</x:v>
      </x:c>
      <x:c r="I55" s="18" t="str">
        <x:v>Medir distancia geodésica y rumbo entre puntos o a lo largo de una ruta dibujada.</x:v>
      </x:c>
      <x:c r="J55" s="18" t="str">
        <x:v>coordinate-geometry-calculator usa plano cartesiano; geographic-coordinate-converter cambia CRS.</x:v>
      </x:c>
      <x:c r="K55" s="18" t="str">
        <x:v>Cálculo local y mapa abierto con política de teselas o fondo aportado.</x:v>
      </x:c>
      <x:c r="L55" s="18" t="str">
        <x:v>Cálculo/editor/juego local propuesto</x:v>
      </x:c>
      <x:c r="M55" s="18" t="str">
        <x:v>Revisar motor, recursos y dependencias</x:v>
      </x:c>
      <x:c r="N55" s="18" t="str">
        <x:v>Interfaz en 37 idiomas; idioma no elige país ni reglas. Formatos Intl, RTL y datos/lexicón de idioma con cobertura explícita.</x:v>
      </x:c>
      <x:c r="O55" s="18" t="str">
        <x:v>global-candidates.json</x:v>
      </x:c>
      <x:c r="P55" s="18" t="str">
        <x:v>2025-10 / 2026-09</x:v>
      </x:c>
      <x:c r="Q55" s="18" t="str">
        <x:v>M</x:v>
      </x:c>
      <x:c r="R55" s="18" t="str">
        <x:v>UV0739</x:v>
      </x:c>
      <x:c r="S55" s="18" t="str">
        <x:v>Pendiente de fuente específica antes de implementar</x:v>
      </x:c>
    </x:row>
    <x:row r="56" ht="64" customHeight="1">
      <x:c r="A56" s="18" t="n">
        <x:v>40</x:v>
      </x:c>
      <x:c r="B56" s="18" t="str">
        <x:v>Trazos de nombres japoneses</x:v>
      </x:c>
      <x:c r="C56" s="18" t="str">
        <x:v>姓名判断</x:v>
      </x:c>
      <x:c r="D56" s="19" t="n">
        <x:v>450000</x:v>
      </x:c>
      <x:c r="E56" s="18" t="str">
        <x:v>≥300.000</x:v>
      </x:c>
      <x:c r="F56" s="18" t="str">
        <x:v>Prioridad por demanda; falta viabilidad</x:v>
      </x:c>
      <x:c r="G56" s="18" t="str">
        <x:v>Vida</x:v>
      </x:c>
      <x:c r="H56" s="18" t="str">
        <x:v>https://tools.usefulverse.com/tools/japanese-name-strokes/</x:v>
      </x:c>
      <x:c r="I56" s="18" t="str">
        <x:v>Contar trazos según diccionario y comparar escuelas de lectura recreativa del nombre.</x:v>
      </x:c>
      <x:c r="J56" s="18" t="str">
        <x:v>word-counter cuenta caracteres; no trazos y convenciones de onomancia.</x:v>
      </x:c>
      <x:c r="K56" s="18" t="str">
        <x:v>Diccionario con licencia y variantes de grafía, interpretación no científica.</x:v>
      </x:c>
      <x:c r="L56" s="18" t="str">
        <x:v>Cálculo/editor/juego local propuesto</x:v>
      </x:c>
      <x:c r="M56" s="18" t="str">
        <x:v>Revisar motor, recursos y dependencias</x:v>
      </x:c>
      <x:c r="N56" s="18" t="str">
        <x:v>Interfaz en 37 idiomas; idioma no elige país ni reglas. Formatos Intl, RTL y datos/lexicón de idioma con cobertura explícita.</x:v>
      </x:c>
      <x:c r="O56" s="18" t="str">
        <x:v>discovery-multilingual-asia.json</x:v>
      </x:c>
      <x:c r="P56" s="18" t="str">
        <x:v>2025-10 / 2026-09</x:v>
      </x:c>
      <x:c r="Q56" s="18" t="str">
        <x:v>M</x:v>
      </x:c>
      <x:c r="R56" s="18" t="str">
        <x:v>UV0740</x:v>
      </x:c>
      <x:c r="S56" s="18" t="str">
        <x:v>Pendiente de fuente específica antes de implementar</x:v>
      </x:c>
    </x:row>
    <x:row r="57" ht="64" customHeight="1">
      <x:c r="A57" s="18" t="n">
        <x:v>41</x:v>
      </x:c>
      <x:c r="B57" s="18" t="str">
        <x:v>Compatibilidad recreativa de nombres</x:v>
      </x:c>
      <x:c r="C57" s="18" t="str">
        <x:v>love calculator</x:v>
      </x:c>
      <x:c r="D57" s="19" t="n">
        <x:v>450000</x:v>
      </x:c>
      <x:c r="E57" s="18" t="str">
        <x:v>≥300.000</x:v>
      </x:c>
      <x:c r="F57" s="18" t="str">
        <x:v>Prioridad por demanda; falta viabilidad</x:v>
      </x:c>
      <x:c r="G57" s="18" t="str">
        <x:v>Juegos</x:v>
      </x:c>
      <x:c r="H57" s="18" t="str">
        <x:v>https://tools.usefulverse.com/tools/love-calculator/</x:v>
      </x:c>
      <x:c r="I57" s="18" t="str">
        <x:v>Aplicar una regla lúdica transparente a nombres y generar una tarjeta recreativa.</x:v>
      </x:c>
      <x:c r="J57" s="18" t="str">
        <x:v>No hay juego de compatibilidad; no debe fingir medir una relación real.</x:v>
      </x:c>
      <x:c r="K57" s="18" t="str">
        <x:v>Solo entretenimiento, fórmula visible y ningún dato sensible requerido.</x:v>
      </x:c>
      <x:c r="L57" s="18" t="str">
        <x:v>Cálculo/editor/juego local propuesto</x:v>
      </x:c>
      <x:c r="M57" s="18" t="str">
        <x:v>Revisar motor, recursos y dependencias</x:v>
      </x:c>
      <x:c r="N57" s="18" t="str">
        <x:v>Interfaz en 37 idiomas; idioma no elige país ni reglas. Reglas y variante elegibles; ayudas claras y arte propio.</x:v>
      </x:c>
      <x:c r="O57" s="18" t="str">
        <x:v>global-initial-screen.json</x:v>
      </x:c>
      <x:c r="P57" s="18" t="str">
        <x:v>2025-10 / 2026-09</x:v>
      </x:c>
      <x:c r="Q57" s="18" t="str">
        <x:v>M</x:v>
      </x:c>
      <x:c r="R57" s="18" t="str">
        <x:v>UV0741</x:v>
      </x:c>
      <x:c r="S57" s="18" t="str">
        <x:v>Pendiente de fuente específica antes de implementar</x:v>
      </x:c>
    </x:row>
    <x:row r="58" ht="64" customHeight="1">
      <x:c r="A58" s="18" t="n">
        <x:v>42</x:v>
      </x:c>
      <x:c r="B58" s="18" t="str">
        <x:v>Constructor visual de webs estáticas</x:v>
      </x:c>
      <x:c r="C58" s="18" t="str">
        <x:v>website builder</x:v>
      </x:c>
      <x:c r="D58" s="19" t="n">
        <x:v>450000</x:v>
      </x:c>
      <x:c r="E58" s="18" t="str">
        <x:v>≥300.000</x:v>
      </x:c>
      <x:c r="F58" s="18" t="str">
        <x:v>Prioridad por demanda; falta viabilidad</x:v>
      </x:c>
      <x:c r="G58" s="18" t="str">
        <x:v>Desarrollo</x:v>
      </x:c>
      <x:c r="H58" s="18" t="str">
        <x:v>https://tools.usefulverse.com/tools/static-website-builder/</x:v>
      </x:c>
      <x:c r="I58" s="18" t="str">
        <x:v>Componer páginas visualmente y descargar HTML, CSS y recursos propios.</x:v>
      </x:c>
      <x:c r="J58" s="18" t="str">
        <x:v>html-css-js-playground edita código; no ofrece diseño visual y exportación de un sitio completo.</x:v>
      </x:c>
      <x:c r="K58" s="18" t="str">
        <x:v>Todo local; no incluir hosting, dominios ni publicación automática.</x:v>
      </x:c>
      <x:c r="L58" s="18" t="str">
        <x:v>Cálculo/editor/juego local propuesto</x:v>
      </x:c>
      <x:c r="M58" s="18" t="str">
        <x:v>Revisar motor, recursos y dependencias</x:v>
      </x:c>
      <x:c r="N58" s="18" t="str">
        <x:v>Interfaz en 37 idiomas; idioma no elige país ni reglas. Formatos Intl, RTL y datos/lexicón de idioma con cobertura explícita.</x:v>
      </x:c>
      <x:c r="O58" s="18" t="str">
        <x:v>global-initial-screen.json</x:v>
      </x:c>
      <x:c r="P58" s="18" t="str">
        <x:v>2025-10 / 2026-09</x:v>
      </x:c>
      <x:c r="Q58" s="18" t="str">
        <x:v>M</x:v>
      </x:c>
      <x:c r="R58" s="18" t="str">
        <x:v>UV0742</x:v>
      </x:c>
      <x:c r="S58" s="18" t="str">
        <x:v>Pendiente de fuente específica antes de implementar</x:v>
      </x:c>
    </x:row>
    <x:row r="59" ht="64" customHeight="1">
      <x:c r="A59" s="18" t="n">
        <x:v>43</x:v>
      </x:c>
      <x:c r="B59" s="18" t="str">
        <x:v>Teclado multilingüe e IME</x:v>
      </x:c>
      <x:c r="C59" s="18" t="str">
        <x:v>hindi typing</x:v>
      </x:c>
      <x:c r="D59" s="19" t="n">
        <x:v>450000</x:v>
      </x:c>
      <x:c r="E59" s="18" t="str">
        <x:v>≥300.000</x:v>
      </x:c>
      <x:c r="F59" s="18" t="str">
        <x:v>Prioridad por demanda; falta viabilidad</x:v>
      </x:c>
      <x:c r="G59" s="18" t="str">
        <x:v>Idiomas</x:v>
      </x:c>
      <x:c r="H59" s="18" t="str">
        <x:v>https://tools.usefulverse.com/tools/virtual-keyboard/</x:v>
      </x:c>
      <x:c r="I59" s="18" t="str">
        <x:v>Escribir en otras escrituras con teclado visual, composición y copia.</x:v>
      </x:c>
      <x:c r="J59" s="18" t="str">
        <x:v>keyboard-tester comprueba teclas; no permite componer texto en otros alfabetos.</x:v>
      </x:c>
      <x:c r="K59" s="18" t="str">
        <x:v>Un solo producto con perfiles de escritura, no una herramienta por idioma.</x:v>
      </x:c>
      <x:c r="L59" s="18" t="str">
        <x:v>Cálculo/editor/juego local propuesto</x:v>
      </x:c>
      <x:c r="M59" s="18" t="str">
        <x:v>Revisar motor, recursos y dependencias</x:v>
      </x:c>
      <x:c r="N59" s="18" t="str">
        <x:v>Interfaz en 37 idiomas; idioma no elige país ni reglas. Formatos Intl, RTL y datos/lexicón de idioma con cobertura explícita.</x:v>
      </x:c>
      <x:c r="O59" s="18" t="str">
        <x:v>global-initial-screen.json</x:v>
      </x:c>
      <x:c r="P59" s="18" t="str">
        <x:v>2025-10 / 2026-09</x:v>
      </x:c>
      <x:c r="Q59" s="18" t="str">
        <x:v>M</x:v>
      </x:c>
      <x:c r="R59" s="18" t="str">
        <x:v>UV0743</x:v>
      </x:c>
      <x:c r="S59" s="18" t="str">
        <x:v>Pendiente de fuente específica antes de implementar</x:v>
      </x:c>
    </x:row>
    <x:row r="60" ht="64" customHeight="1">
      <x:c r="A60" s="18" t="n">
        <x:v>44</x:v>
      </x:c>
      <x:c r="B60" s="18" t="str">
        <x:v>Béisbol de práctica</x:v>
      </x:c>
      <x:c r="C60" s="18" t="str">
        <x:v>baseball game</x:v>
      </x:c>
      <x:c r="D60" s="19" t="n">
        <x:v>368000</x:v>
      </x:c>
      <x:c r="E60" s="18" t="str">
        <x:v>≥300.000</x:v>
      </x:c>
      <x:c r="F60" s="18" t="str">
        <x:v>Revisar intención antes de priorizar</x:v>
      </x:c>
      <x:c r="G60" s="18" t="str">
        <x:v>Juegos</x:v>
      </x:c>
      <x:c r="H60" s="18" t="str">
        <x:v>https://tools.usefulverse.com/tools/baseball-game/</x:v>
      </x:c>
      <x:c r="I60" s="18" t="str">
        <x:v>Batear, lanzar y avanzar bases en una partida breve contra CPU.</x:v>
      </x:c>
      <x:c r="J60" s="18" t="str">
        <x:v>cricket-game usa overs y wickets; béisbol usa bases, outs y entradas.</x:v>
      </x:c>
      <x:c r="K60" s="18" t="str">
        <x:v>Arte original; no usar marcas de equipos o ligas.</x:v>
      </x:c>
      <x:c r="L60" s="18" t="str">
        <x:v>Cálculo/editor/juego local propuesto</x:v>
      </x:c>
      <x:c r="M60" s="18" t="str">
        <x:v>Revisar motor, recursos y dependencias</x:v>
      </x:c>
      <x:c r="N60" s="18" t="str">
        <x:v>Interfaz en 37 idiomas; idioma no elige país ni reglas. Reglas y variante elegibles; ayudas claras y arte propio.</x:v>
      </x:c>
      <x:c r="O60" s="18" t="str">
        <x:v>global-candidates.json</x:v>
      </x:c>
      <x:c r="P60" s="18" t="str">
        <x:v>2025-10 / 2026-09</x:v>
      </x:c>
      <x:c r="Q60" s="18" t="str">
        <x:v>M</x:v>
      </x:c>
      <x:c r="R60" s="18" t="str">
        <x:v>UV0744</x:v>
      </x:c>
      <x:c r="S60" s="18" t="str">
        <x:v>Pendiente de fuente específica antes de implementar</x:v>
      </x:c>
    </x:row>
    <x:row r="61" ht="64" customHeight="1">
      <x:c r="A61" s="18" t="n">
        <x:v>45</x:v>
      </x:c>
      <x:c r="B61" s="18" t="str">
        <x:v>Progresiones de acordes</x:v>
      </x:c>
      <x:c r="C61" s="18" t="str">
        <x:v>chord progression</x:v>
      </x:c>
      <x:c r="D61" s="19" t="n">
        <x:v>368000</x:v>
      </x:c>
      <x:c r="E61" s="18" t="str">
        <x:v>≥300.000</x:v>
      </x:c>
      <x:c r="F61" s="18" t="str">
        <x:v>Revisar intención antes de priorizar</x:v>
      </x:c>
      <x:c r="G61" s="18" t="str">
        <x:v>Música</x:v>
      </x:c>
      <x:c r="H61" s="18" t="str">
        <x:v>https://tools.usefulverse.com/tools/chord-progression-builder/</x:v>
      </x:c>
      <x:c r="I61" s="18" t="str">
        <x:v>Crear y escuchar progresiones con grados, tonalidad e inversiones y exportar MIDI.</x:v>
      </x:c>
      <x:c r="J61" s="18" t="str">
        <x:v>guitar-chord-finder muestra posiciones; no compone una secuencia armónica.</x:v>
      </x:c>
      <x:c r="K61" s="18" t="str">
        <x:v>Reglas locales y ejemplos originales; una URL para instrumentos.</x:v>
      </x:c>
      <x:c r="L61" s="18" t="str">
        <x:v>Cálculo/editor/juego local propuesto</x:v>
      </x:c>
      <x:c r="M61" s="18" t="str">
        <x:v>Revisar motor, recursos y dependencias</x:v>
      </x:c>
      <x:c r="N61" s="18" t="str">
        <x:v>Interfaz en 37 idiomas; idioma no elige país ni reglas. Formatos Intl, RTL y datos/lexicón de idioma con cobertura explícita.</x:v>
      </x:c>
      <x:c r="O61" s="18" t="str">
        <x:v>global-candidates.json</x:v>
      </x:c>
      <x:c r="P61" s="18" t="str">
        <x:v>2025-10 / 2026-09</x:v>
      </x:c>
      <x:c r="Q61" s="18" t="str">
        <x:v>M</x:v>
      </x:c>
      <x:c r="R61" s="18" t="str">
        <x:v>UV0745</x:v>
      </x:c>
      <x:c r="S61" s="18" t="str">
        <x:v>Pendiente de fuente específica antes de implementar</x:v>
      </x:c>
    </x:row>
    <x:row r="62" ht="64" customHeight="1">
      <x:c r="A62" s="18" t="n">
        <x:v>46</x:v>
      </x:c>
      <x:c r="B62" s="18" t="str">
        <x:v>Críquet de práctica</x:v>
      </x:c>
      <x:c r="C62" s="18" t="str">
        <x:v>cricket games</x:v>
      </x:c>
      <x:c r="D62" s="19" t="n">
        <x:v>368000</x:v>
      </x:c>
      <x:c r="E62" s="18" t="str">
        <x:v>≥300.000</x:v>
      </x:c>
      <x:c r="F62" s="18" t="str">
        <x:v>Prioridad por demanda; falta viabilidad</x:v>
      </x:c>
      <x:c r="G62" s="18" t="str">
        <x:v>Juegos</x:v>
      </x:c>
      <x:c r="H62" s="18" t="str">
        <x:v>https://tools.usefulverse.com/tools/cricket-game/</x:v>
      </x:c>
      <x:c r="I62" s="18" t="str">
        <x:v>Batear y lanzar en un partido reducido con overs y wickets.</x:v>
      </x:c>
      <x:c r="J62" s="18" t="str">
        <x:v>No hay mecánica de bateo ni tanteo de críquet.</x:v>
      </x:c>
      <x:c r="K62" s="18" t="str">
        <x:v>Reglas visibles y controles locales; sin estadísticas en directo.</x:v>
      </x:c>
      <x:c r="L62" s="18" t="str">
        <x:v>Cálculo/editor/juego local propuesto</x:v>
      </x:c>
      <x:c r="M62" s="18" t="str">
        <x:v>Revisar motor, recursos y dependencias</x:v>
      </x:c>
      <x:c r="N62" s="18" t="str">
        <x:v>Interfaz en 37 idiomas; idioma no elige país ni reglas. Reglas y variante elegibles; ayudas claras y arte propio.</x:v>
      </x:c>
      <x:c r="O62" s="18" t="str">
        <x:v>global-candidates.json</x:v>
      </x:c>
      <x:c r="P62" s="18" t="str">
        <x:v>2025-10 / 2026-09</x:v>
      </x:c>
      <x:c r="Q62" s="18" t="str">
        <x:v>M</x:v>
      </x:c>
      <x:c r="R62" s="18" t="str">
        <x:v>UV0746</x:v>
      </x:c>
      <x:c r="S62" s="18" t="str">
        <x:v>Pendiente de fuente específica antes de implementar</x:v>
      </x:c>
    </x:row>
    <x:row r="63" ht="64" customHeight="1">
      <x:c r="A63" s="18" t="n">
        <x:v>47</x:v>
      </x:c>
      <x:c r="B63" s="18" t="str">
        <x:v>Consulta DNS</x:v>
      </x:c>
      <x:c r="C63" s="18" t="str">
        <x:v>dns checker</x:v>
      </x:c>
      <x:c r="D63" s="19" t="n">
        <x:v>368000</x:v>
      </x:c>
      <x:c r="E63" s="18" t="str">
        <x:v>≥300.000</x:v>
      </x:c>
      <x:c r="F63" s="18" t="str">
        <x:v>Prioridad por demanda; falta viabilidad</x:v>
      </x:c>
      <x:c r="G63" s="18" t="str">
        <x:v>Desarrollo</x:v>
      </x:c>
      <x:c r="H63" s="18" t="str">
        <x:v>https://tools.usefulverse.com/tools/dns-lookup/</x:v>
      </x:c>
      <x:c r="I63" s="18" t="str">
        <x:v>Consultar A, AAAA, MX, TXT, CAA y DNSSEC y comparar resolutores.</x:v>
      </x:c>
      <x:c r="J63" s="18" t="str">
        <x:v>subnet-calculator hace aritmética de direcciones; no consulta registros DNS.</x:v>
      </x:c>
      <x:c r="K63" s="18" t="str">
        <x:v>DNS-over-HTTPS directo con condiciones del proveedor y tolerancia a límites.</x:v>
      </x:c>
      <x:c r="L63" s="18" t="str">
        <x:v>Servicio/datos externos: condiciones y cuotas pendientes</x:v>
      </x:c>
      <x:c r="M63" s="18" t="str">
        <x:v>Datos: revisar fuente, licencia y cadencia</x:v>
      </x:c>
      <x:c r="N63" s="18" t="str">
        <x:v>Interfaz en 37 idiomas; idioma no elige país ni reglas. Formatos Intl, RTL y datos/lexicón de idioma con cobertura explícita.</x:v>
      </x:c>
      <x:c r="O63" s="18" t="str">
        <x:v>global-candidates.json</x:v>
      </x:c>
      <x:c r="P63" s="18" t="str">
        <x:v>2025-10 / 2026-09</x:v>
      </x:c>
      <x:c r="Q63" s="18" t="str">
        <x:v>L</x:v>
      </x:c>
      <x:c r="R63" s="18" t="str">
        <x:v>UV0747</x:v>
      </x:c>
      <x:c r="S63" s="18" t="str">
        <x:v>Pendiente de fuente específica antes de implementar</x:v>
      </x:c>
    </x:row>
    <x:row r="64" ht="64" customHeight="1">
      <x:c r="A64" s="18" t="n">
        <x:v>48</x:v>
      </x:c>
      <x:c r="B64" s="18" t="str">
        <x:v>Gratificación laboral de India</x:v>
      </x:c>
      <x:c r="C64" s="18" t="str">
        <x:v>gratuity calculator</x:v>
      </x:c>
      <x:c r="D64" s="19" t="n">
        <x:v>368000</x:v>
      </x:c>
      <x:c r="E64" s="18" t="str">
        <x:v>≥300.000</x:v>
      </x:c>
      <x:c r="F64" s="18" t="str">
        <x:v>Prioridad por demanda; falta viabilidad</x:v>
      </x:c>
      <x:c r="G64" s="18" t="str">
        <x:v>Finanzas</x:v>
      </x:c>
      <x:c r="H64" s="18" t="str">
        <x:v>https://tools.usefulverse.com/tools/india-gratuity-calculator/</x:v>
      </x:c>
      <x:c r="I64" s="18" t="str">
        <x:v>Calcular elegibilidad, años computables y cuantía de gratuity según régimen.</x:v>
      </x:c>
      <x:c r="J64" s="18" t="str">
        <x:v>severance-pay-calculator no implementa elegibilidad ni límites de India.</x:v>
      </x:c>
      <x:c r="K64" s="18" t="str">
        <x:v>Ley vigente y excepciones; resultados como estimación.</x:v>
      </x:c>
      <x:c r="L64" s="18" t="str">
        <x:v>Cálculo/editor/juego local propuesto</x:v>
      </x:c>
      <x:c r="M64" s="18" t="str">
        <x:v>Alta: normativa y tablas por ejercicio</x:v>
      </x:c>
      <x:c r="N64" s="18" t="str">
        <x:v>Interfaz en 37 idiomas; idioma no elige país ni reglas. Jurisdicción y año visibles; fuentes oficiales del país.</x:v>
      </x:c>
      <x:c r="O64" s="18" t="str">
        <x:v>global-candidates.json</x:v>
      </x:c>
      <x:c r="P64" s="18" t="str">
        <x:v>2025-10 / 2026-09</x:v>
      </x:c>
      <x:c r="Q64" s="18" t="str">
        <x:v>L</x:v>
      </x:c>
      <x:c r="R64" s="18" t="str">
        <x:v>UV0748</x:v>
      </x:c>
      <x:c r="S64" s="18" t="str">
        <x:v>Pendiente de fuente específica antes de implementar</x:v>
      </x:c>
    </x:row>
    <x:row r="65" ht="64" customHeight="1">
      <x:c r="A65" s="18" t="n">
        <x:v>49</x:v>
      </x:c>
      <x:c r="B65" s="18" t="str">
        <x:v>Consulta de IP y ASN</x:v>
      </x:c>
      <x:c r="C65" s="18" t="str">
        <x:v>ip lookup</x:v>
      </x:c>
      <x:c r="D65" s="19" t="n">
        <x:v>368000</x:v>
      </x:c>
      <x:c r="E65" s="18" t="str">
        <x:v>≥300.000</x:v>
      </x:c>
      <x:c r="F65" s="18" t="str">
        <x:v>Prioridad por demanda; falta viabilidad</x:v>
      </x:c>
      <x:c r="G65" s="18" t="str">
        <x:v>Desarrollo</x:v>
      </x:c>
      <x:c r="H65" s="18" t="str">
        <x:v>https://tools.usefulverse.com/tools/ip-geolocation-lookup/</x:v>
      </x:c>
      <x:c r="I65" s="18" t="str">
        <x:v>Consultar ASN, red y localización aproximada de una IP con fecha del conjunto.</x:v>
      </x:c>
      <x:c r="J65" s="18" t="str">
        <x:v>subnet-calculator calcula máscaras; no aporta datos de asignación o geolocalización.</x:v>
      </x:c>
      <x:c r="K65" s="18" t="str">
        <x:v>Base abierta y redistribuible o endpoint permitido; ubicación aproximada.</x:v>
      </x:c>
      <x:c r="L65" s="18" t="str">
        <x:v>Servicio/datos externos: condiciones y cuotas pendientes</x:v>
      </x:c>
      <x:c r="M65" s="18" t="str">
        <x:v>Datos: revisar fuente, licencia y cadencia</x:v>
      </x:c>
      <x:c r="N65" s="18" t="str">
        <x:v>Interfaz en 37 idiomas; idioma no elige país ni reglas. Formatos Intl, RTL y datos/lexicón de idioma con cobertura explícita.</x:v>
      </x:c>
      <x:c r="O65" s="18" t="str">
        <x:v>global-initial-screen.json</x:v>
      </x:c>
      <x:c r="P65" s="18" t="str">
        <x:v>2025-10 / 2026-09</x:v>
      </x:c>
      <x:c r="Q65" s="18" t="str">
        <x:v>L</x:v>
      </x:c>
      <x:c r="R65" s="18" t="str">
        <x:v>UV0749</x:v>
      </x:c>
      <x:c r="S65" s="18" t="str">
        <x:v>Pendiente de fuente específica antes de implementar</x:v>
      </x:c>
    </x:row>
    <x:row r="66" ht="64" customHeight="1">
      <x:c r="A66" s="18" t="n">
        <x:v>50</x:v>
      </x:c>
      <x:c r="B66" s="18" t="str">
        <x:v>Mahjong de cuatro jugadores</x:v>
      </x:c>
      <x:c r="C66" s="18" t="str">
        <x:v>麻雀 ゲーム</x:v>
      </x:c>
      <x:c r="D66" s="19" t="n">
        <x:v>368000</x:v>
      </x:c>
      <x:c r="E66" s="18" t="str">
        <x:v>≥300.000</x:v>
      </x:c>
      <x:c r="F66" s="18" t="str">
        <x:v>Prioridad por demanda; falta viabilidad</x:v>
      </x:c>
      <x:c r="G66" s="18" t="str">
        <x:v>Juegos</x:v>
      </x:c>
      <x:c r="H66" s="18" t="str">
        <x:v>https://tools.usefulverse.com/tools/mahjong-four-player/</x:v>
      </x:c>
      <x:c r="I66" s="18" t="str">
        <x:v>Jugar robo, descarte, combinaciones y mano ganadora con reglas elegibles.</x:v>
      </x:c>
      <x:c r="J66" s="18" t="str">
        <x:v>mahjong-solitaire empareja fichas libres; no es Mahjong de cuatro jugadores.</x:v>
      </x:c>
      <x:c r="K66" s="18" t="str">
        <x:v>Perfiles de puntuación diferenciados; no prometer todas las variantes al inicio.</x:v>
      </x:c>
      <x:c r="L66" s="18" t="str">
        <x:v>Cálculo/editor/juego local propuesto</x:v>
      </x:c>
      <x:c r="M66" s="18" t="str">
        <x:v>Revisar motor, recursos y dependencias</x:v>
      </x:c>
      <x:c r="N66" s="18" t="str">
        <x:v>Interfaz en 37 idiomas; idioma no elige país ni reglas. Reglas y variante elegibles; ayudas claras y arte propio.</x:v>
      </x:c>
      <x:c r="O66" s="18" t="str">
        <x:v>global-refinement.json</x:v>
      </x:c>
      <x:c r="P66" s="18" t="str">
        <x:v>2025-10 / 2026-09</x:v>
      </x:c>
      <x:c r="Q66" s="18" t="str">
        <x:v>M</x:v>
      </x:c>
      <x:c r="R66" s="18" t="str">
        <x:v>UV0750</x:v>
      </x:c>
      <x:c r="S66" s="18" t="str">
        <x:v>Pendiente de fuente específica antes de implementar</x:v>
      </x:c>
    </x:row>
    <x:row r="67" ht="64" customHeight="1">
      <x:c r="A67" s="18" t="n">
        <x:v>51</x:v>
      </x:c>
      <x:c r="B67" s="18" t="str">
        <x:v>Planificador de transporte público</x:v>
      </x:c>
      <x:c r="C67" s="18" t="str">
        <x:v>journey planner</x:v>
      </x:c>
      <x:c r="D67" s="19" t="n">
        <x:v>368000</x:v>
      </x:c>
      <x:c r="E67" s="18" t="str">
        <x:v>≥300.000</x:v>
      </x:c>
      <x:c r="F67" s="18" t="str">
        <x:v>Revisar intención antes de priorizar</x:v>
      </x:c>
      <x:c r="G67" s="18" t="str">
        <x:v>Vida</x:v>
      </x:c>
      <x:c r="H67" s="18" t="str">
        <x:v>https://tools.usefulverse.com/tools/public-transit-planner/</x:v>
      </x:c>
      <x:c r="I67" s="18" t="str">
        <x:v>Buscar itinerarios con horarios y transbordos desde feeds GTFS permitidos.</x:v>
      </x:c>
      <x:c r="J67" s="18" t="str">
        <x:v>travel-itinerary-planner no calcula recorridos de una red de transporte.</x:v>
      </x:c>
      <x:c r="K67" s="18" t="str">
        <x:v>Feeds abiertos por ciudad, actualización y cobertura explícitas; no prometer cobertura mundial.</x:v>
      </x:c>
      <x:c r="L67" s="18" t="str">
        <x:v>Servicio/datos externos: condiciones y cuotas pendientes</x:v>
      </x:c>
      <x:c r="M67" s="18" t="str">
        <x:v>Datos: revisar fuente, licencia y cadencia</x:v>
      </x:c>
      <x:c r="N67" s="18" t="str">
        <x:v>Interfaz en 37 idiomas; idioma no elige país ni reglas. Formatos Intl, RTL y datos/lexicón de idioma con cobertura explícita.</x:v>
      </x:c>
      <x:c r="O67" s="18" t="str">
        <x:v>global-candidates.json</x:v>
      </x:c>
      <x:c r="P67" s="18" t="str">
        <x:v>2025-10 / 2026-09</x:v>
      </x:c>
      <x:c r="Q67" s="18" t="str">
        <x:v>L</x:v>
      </x:c>
      <x:c r="R67" s="18" t="str">
        <x:v>UV0751</x:v>
      </x:c>
      <x:c r="S67" s="18" t="str">
        <x:v>Pendiente de fuente específica antes de implementar</x:v>
      </x:c>
    </x:row>
    <x:row r="68" ht="64" customHeight="1">
      <x:c r="A68" s="18" t="n">
        <x:v>52</x:v>
      </x:c>
      <x:c r="B68" s="18" t="str">
        <x:v>Shogi</x:v>
      </x:c>
      <x:c r="C68" s="18" t="str">
        <x:v>将棋</x:v>
      </x:c>
      <x:c r="D68" s="19" t="n">
        <x:v>368000</x:v>
      </x:c>
      <x:c r="E68" s="18" t="str">
        <x:v>≥300.000</x:v>
      </x:c>
      <x:c r="F68" s="18" t="str">
        <x:v>Prioridad por demanda; falta viabilidad</x:v>
      </x:c>
      <x:c r="G68" s="18" t="str">
        <x:v>Juegos</x:v>
      </x:c>
      <x:c r="H68" s="18" t="str">
        <x:v>https://tools.usefulverse.com/tools/shogi/</x:v>
      </x:c>
      <x:c r="I68" s="18" t="str">
        <x:v>Jugar captura y reutilización de piezas con promoción y reglas de jaque.</x:v>
      </x:c>
      <x:c r="J68" s="18" t="str">
        <x:v>chess-game no permite piezas en mano ni las reglas de promoción de Shogi.</x:v>
      </x:c>
      <x:c r="K68" s="18" t="str">
        <x:v>Bot local y notación exportable; piezas con etiquetas alternativas.</x:v>
      </x:c>
      <x:c r="L68" s="18" t="str">
        <x:v>Cálculo/editor/juego local propuesto</x:v>
      </x:c>
      <x:c r="M68" s="18" t="str">
        <x:v>Revisar motor, recursos y dependencias</x:v>
      </x:c>
      <x:c r="N68" s="18" t="str">
        <x:v>Interfaz en 37 idiomas; idioma no elige país ni reglas. Reglas y variante elegibles; ayudas claras y arte propio.</x:v>
      </x:c>
      <x:c r="O68" s="18" t="str">
        <x:v>global-candidates.json</x:v>
      </x:c>
      <x:c r="P68" s="18" t="str">
        <x:v>2025-10 / 2026-09</x:v>
      </x:c>
      <x:c r="Q68" s="18" t="str">
        <x:v>M</x:v>
      </x:c>
      <x:c r="R68" s="18" t="str">
        <x:v>UV0752</x:v>
      </x:c>
      <x:c r="S68" s="18" t="str">
        <x:v>Pendiente de fuente específica antes de implementar</x:v>
      </x:c>
    </x:row>
    <x:row r="69" ht="64" customHeight="1">
      <x:c r="A69" s="18" t="n">
        <x:v>53</x:v>
      </x:c>
      <x:c r="B69" s="18" t="str">
        <x:v>Penaltis de fútbol</x:v>
      </x:c>
      <x:c r="C69" s="18" t="str">
        <x:v>soccer games</x:v>
      </x:c>
      <x:c r="D69" s="19" t="n">
        <x:v>368000</x:v>
      </x:c>
      <x:c r="E69" s="18" t="str">
        <x:v>≥300.000</x:v>
      </x:c>
      <x:c r="F69" s="18" t="str">
        <x:v>Revisar intención antes de priorizar</x:v>
      </x:c>
      <x:c r="G69" s="18" t="str">
        <x:v>Juegos</x:v>
      </x:c>
      <x:c r="H69" s="18" t="str">
        <x:v>https://tools.usefulverse.com/tools/soccer-penalty-game/</x:v>
      </x:c>
      <x:c r="I69" s="18" t="str">
        <x:v>Alternar tirador y portero en una tanda con decisiones y marcador.</x:v>
      </x:c>
      <x:c r="J69" s="18" t="str">
        <x:v>No hay juego de fútbol; no ofrecer calendarios o partidos reales con esa keyword.</x:v>
      </x:c>
      <x:c r="K69" s="18" t="str">
        <x:v>Arte propio; filtrar consultas de resultados deportivos.</x:v>
      </x:c>
      <x:c r="L69" s="18" t="str">
        <x:v>Cálculo/editor/juego local propuesto</x:v>
      </x:c>
      <x:c r="M69" s="18" t="str">
        <x:v>Revisar motor, recursos y dependencias</x:v>
      </x:c>
      <x:c r="N69" s="18" t="str">
        <x:v>Interfaz en 37 idiomas; idioma no elige país ni reglas. Reglas y variante elegibles; ayudas claras y arte propio.</x:v>
      </x:c>
      <x:c r="O69" s="18" t="str">
        <x:v>global-candidates.json</x:v>
      </x:c>
      <x:c r="P69" s="18" t="str">
        <x:v>2025-10 / 2026-09</x:v>
      </x:c>
      <x:c r="Q69" s="18" t="str">
        <x:v>M</x:v>
      </x:c>
      <x:c r="R69" s="18" t="str">
        <x:v>UV0753</x:v>
      </x:c>
      <x:c r="S69" s="18" t="str">
        <x:v>Pendiente de fuente específica antes de implementar</x:v>
      </x:c>
    </x:row>
    <x:row r="70" ht="64" customHeight="1">
      <x:c r="A70" s="18" t="n">
        <x:v>54</x:v>
      </x:c>
      <x:c r="B70" s="18" t="str">
        <x:v>Teen Patti de práctica</x:v>
      </x:c>
      <x:c r="C70" s="18" t="str">
        <x:v>teen patti</x:v>
      </x:c>
      <x:c r="D70" s="19" t="n">
        <x:v>368000</x:v>
      </x:c>
      <x:c r="E70" s="18" t="str">
        <x:v>≥300.000</x:v>
      </x:c>
      <x:c r="F70" s="18" t="str">
        <x:v>Revisar intención antes de priorizar</x:v>
      </x:c>
      <x:c r="G70" s="18" t="str">
        <x:v>Juegos</x:v>
      </x:c>
      <x:c r="H70" s="18" t="str">
        <x:v>https://tools.usefulverse.com/tools/teen-patti/</x:v>
      </x:c>
      <x:c r="I70" s="18" t="str">
        <x:v>Practicar el juego de tres cartas contra bots con fichas sin valor.</x:v>
      </x:c>
      <x:c r="J70" s="18" t="str">
        <x:v>poker-odds-calculator y blackjack-game no implementan reglas de Teen Patti.</x:v>
      </x:c>
      <x:c r="K70" s="18" t="str">
        <x:v>Reglas y fichas virtuales; excluir búsquedas de marcas de casinos.</x:v>
      </x:c>
      <x:c r="L70" s="18" t="str">
        <x:v>Cálculo/editor/juego local propuesto</x:v>
      </x:c>
      <x:c r="M70" s="18" t="str">
        <x:v>Revisar motor, recursos y dependencias</x:v>
      </x:c>
      <x:c r="N70" s="18" t="str">
        <x:v>Interfaz en 37 idiomas; idioma no elige país ni reglas. Reglas y variante elegibles; ayudas claras y arte propio.</x:v>
      </x:c>
      <x:c r="O70" s="18" t="str">
        <x:v>global-initial-screen.json</x:v>
      </x:c>
      <x:c r="P70" s="18" t="str">
        <x:v>2025-10 / 2026-09</x:v>
      </x:c>
      <x:c r="Q70" s="18" t="str">
        <x:v>M</x:v>
      </x:c>
      <x:c r="R70" s="18" t="str">
        <x:v>UV0754</x:v>
      </x:c>
      <x:c r="S70" s="18" t="str">
        <x:v>Pendiente de fuente específica antes de implementar</x:v>
      </x:c>
    </x:row>
    <x:row r="71" ht="64" customHeight="1">
      <x:c r="A71" s="18" t="n">
        <x:v>55</x:v>
      </x:c>
      <x:c r="B71" s="18" t="str">
        <x:v>Qué prefieres</x:v>
      </x:c>
      <x:c r="C71" s="18" t="str">
        <x:v>would you rather questions</x:v>
      </x:c>
      <x:c r="D71" s="19" t="n">
        <x:v>368000</x:v>
      </x:c>
      <x:c r="E71" s="18" t="str">
        <x:v>≥300.000</x:v>
      </x:c>
      <x:c r="F71" s="18" t="str">
        <x:v>Prioridad por demanda; falta viabilidad</x:v>
      </x:c>
      <x:c r="G71" s="18" t="str">
        <x:v>Juegos</x:v>
      </x:c>
      <x:c r="H71" s="18" t="str">
        <x:v>https://tools.usefulverse.com/tools/would-you-rather/</x:v>
      </x:c>
      <x:c r="I71" s="18" t="str">
        <x:v>Elegir entre dilemas, comparar elecciones locales y crear una baraja propia.</x:v>
      </x:c>
      <x:c r="J71" s="18" t="str">
        <x:v>decision-matrix es una evaluación ponderada; aquí existe juego de dilemas en grupo.</x:v>
      </x:c>
      <x:c r="K71" s="18" t="str">
        <x:v>Preguntas originales y sin porcentajes globales inventados.</x:v>
      </x:c>
      <x:c r="L71" s="18" t="str">
        <x:v>Cálculo/editor/juego local propuesto</x:v>
      </x:c>
      <x:c r="M71" s="18" t="str">
        <x:v>Revisar motor, recursos y dependencias</x:v>
      </x:c>
      <x:c r="N71" s="18" t="str">
        <x:v>Interfaz en 37 idiomas; idioma no elige país ni reglas. Reglas y variante elegibles; ayudas claras y arte propio.</x:v>
      </x:c>
      <x:c r="O71" s="18" t="str">
        <x:v>global-candidates.json</x:v>
      </x:c>
      <x:c r="P71" s="18" t="str">
        <x:v>2025-10 / 2026-09</x:v>
      </x:c>
      <x:c r="Q71" s="18" t="str">
        <x:v>M</x:v>
      </x:c>
      <x:c r="R71" s="18" t="str">
        <x:v>UV0755</x:v>
      </x:c>
      <x:c r="S71" s="18" t="str">
        <x:v>Pendiente de fuente específica antes de implementar</x:v>
      </x:c>
    </x:row>
    <x:row r="72" ht="64" customHeight="1">
      <x:c r="A72" s="18" t="n">
        <x:v>56</x:v>
      </x:c>
      <x:c r="B72" s="18" t="str">
        <x:v>Cuestionario de eneagrama</x:v>
      </x:c>
      <x:c r="C72" s="18" t="str">
        <x:v>enneagram test</x:v>
      </x:c>
      <x:c r="D72" s="19" t="n">
        <x:v>301000</x:v>
      </x:c>
      <x:c r="E72" s="18" t="str">
        <x:v>≥300.000</x:v>
      </x:c>
      <x:c r="F72" s="18" t="str">
        <x:v>Prioridad por demanda; falta viabilidad</x:v>
      </x:c>
      <x:c r="G72" s="18" t="str">
        <x:v>Bienestar</x:v>
      </x:c>
      <x:c r="H72" s="18" t="str">
        <x:v>https://tools.usefulverse.com/tools/enneagram-questionnaire/</x:v>
      </x:c>
      <x:c r="I72" s="18" t="str">
        <x:v>Responder una escala autorizada y explorar patrones como entretenimiento o autoexploración.</x:v>
      </x:c>
      <x:c r="J72" s="18" t="str">
        <x:v>Big Five mide otro modelo de rasgos; no diagnóstico.</x:v>
      </x:c>
      <x:c r="K72" s="18" t="str">
        <x:v>Instrumento y traducciones con licencia; evidencia y límites explícitos.</x:v>
      </x:c>
      <x:c r="L72" s="18" t="str">
        <x:v>Cálculo/editor/juego local propuesto</x:v>
      </x:c>
      <x:c r="M72" s="18" t="str">
        <x:v>Revisar motor, recursos y dependencias</x:v>
      </x:c>
      <x:c r="N72" s="18" t="str">
        <x:v>Interfaz en 37 idiomas; idioma no elige país ni reglas. Formatos Intl, RTL y datos/lexicón de idioma con cobertura explícita.</x:v>
      </x:c>
      <x:c r="O72" s="18" t="str">
        <x:v>global-initial-screen.json</x:v>
      </x:c>
      <x:c r="P72" s="18" t="str">
        <x:v>2025-10 / 2026-09</x:v>
      </x:c>
      <x:c r="Q72" s="18" t="str">
        <x:v>L</x:v>
      </x:c>
      <x:c r="R72" s="18" t="str">
        <x:v>UV0756</x:v>
      </x:c>
      <x:c r="S72" s="18" t="str">
        <x:v>Pendiente de fuente específica antes de implementar</x:v>
      </x:c>
    </x:row>
    <x:row r="73" ht="64" customHeight="1">
      <x:c r="A73" s="18" t="n">
        <x:v>57</x:v>
      </x:c>
      <x:c r="B73" s="18" t="str">
        <x:v>Generador de música local</x:v>
      </x:c>
      <x:c r="C73" s="18" t="str">
        <x:v>ai music generator</x:v>
      </x:c>
      <x:c r="D73" s="19" t="n">
        <x:v>301000</x:v>
      </x:c>
      <x:c r="E73" s="18" t="str">
        <x:v>≥300.000</x:v>
      </x:c>
      <x:c r="F73" s="18" t="str">
        <x:v>Prioridad por demanda; falta viabilidad</x:v>
      </x:c>
      <x:c r="G73" s="18" t="str">
        <x:v>Música</x:v>
      </x:c>
      <x:c r="H73" s="18" t="str">
        <x:v>https://tools.usefulverse.com/tools/local-music-generator/</x:v>
      </x:c>
      <x:c r="I73" s="18" t="str">
        <x:v>Generar música nueva desde una descripción con un modelo local autorizado.</x:v>
      </x:c>
      <x:c r="J73" s="18" t="str">
        <x:v>online-sequencer programa notas manuales; no genera música condicionada por texto.</x:v>
      </x:c>
      <x:c r="K73" s="18" t="str">
        <x:v>Muchos modelos de música son no comerciales: licencia de pesos y prueba local son bloqueos reales.</x:v>
      </x:c>
      <x:c r="L73" s="18" t="str">
        <x:v>Modelo local: licencia y rendimiento pendientes</x:v>
      </x:c>
      <x:c r="M73" s="18" t="str">
        <x:v>Revisar motor, recursos y dependencias</x:v>
      </x:c>
      <x:c r="N73" s="18" t="str">
        <x:v>Interfaz en 37 idiomas; idioma no elige país ni reglas. Formatos Intl, RTL y datos/lexicón de idioma con cobertura explícita.</x:v>
      </x:c>
      <x:c r="O73" s="18" t="str">
        <x:v>discovery-creative-learning.json</x:v>
      </x:c>
      <x:c r="P73" s="18" t="str">
        <x:v>2025-10 / 2026-09</x:v>
      </x:c>
      <x:c r="Q73" s="18" t="str">
        <x:v>L</x:v>
      </x:c>
      <x:c r="R73" s="18" t="str">
        <x:v>UV0757</x:v>
      </x:c>
      <x:c r="S73" s="18" t="str">
        <x:v>https://github.com/huggingface/transformers.js</x:v>
      </x:c>
    </x:row>
    <x:row r="74" ht="64" customHeight="1">
      <x:c r="A74" s="18" t="n">
        <x:v>58</x:v>
      </x:c>
      <x:c r="B74" s="18" t="str">
        <x:v>Cuestionario PHQ-9</x:v>
      </x:c>
      <x:c r="C74" s="18" t="str">
        <x:v>depression test</x:v>
      </x:c>
      <x:c r="D74" s="19" t="n">
        <x:v>301000</x:v>
      </x:c>
      <x:c r="E74" s="18" t="str">
        <x:v>≥300.000</x:v>
      </x:c>
      <x:c r="F74" s="18" t="str">
        <x:v>Prioridad por demanda; falta viabilidad</x:v>
      </x:c>
      <x:c r="G74" s="18" t="str">
        <x:v>Bienestar</x:v>
      </x:c>
      <x:c r="H74" s="18" t="str">
        <x:v>https://tools.usefulverse.com/tools/phq9-questionnaire/</x:v>
      </x:c>
      <x:c r="I74" s="18" t="str">
        <x:v>Completar el cuestionario autorizado, puntuar y presentar orientación y recursos según resultado.</x:v>
      </x:c>
      <x:c r="J74" s="18" t="str">
        <x:v>mood-tracker registra estado diario; no administra un instrumento de cribado.</x:v>
      </x:c>
      <x:c r="K74" s="18" t="str">
        <x:v>Fuente primaria, traducciones validadas y flujo específico para respuesta sobre autolesión.</x:v>
      </x:c>
      <x:c r="L74" s="18" t="str">
        <x:v>Cálculo/editor/juego local propuesto</x:v>
      </x:c>
      <x:c r="M74" s="18" t="str">
        <x:v>Revisar motor, recursos y dependencias</x:v>
      </x:c>
      <x:c r="N74" s="18" t="str">
        <x:v>Interfaz en 37 idiomas; idioma no elige país ni reglas. Formatos Intl, RTL y datos/lexicón de idioma con cobertura explícita.</x:v>
      </x:c>
      <x:c r="O74" s="18" t="str">
        <x:v>global-initial-screen.json</x:v>
      </x:c>
      <x:c r="P74" s="18" t="str">
        <x:v>2025-10 / 2026-09</x:v>
      </x:c>
      <x:c r="Q74" s="18" t="str">
        <x:v>L</x:v>
      </x:c>
      <x:c r="R74" s="18" t="str">
        <x:v>UV0758</x:v>
      </x:c>
      <x:c r="S74" s="18" t="str">
        <x:v>Pendiente de fuente específica antes de implementar</x:v>
      </x:c>
    </x:row>
    <x:row r="75" ht="64" customHeight="1">
      <x:c r="A75" s="18" t="n">
        <x:v>59</x:v>
      </x:c>
      <x:c r="B75" s="18" t="str">
        <x:v>Piedra, papel o tijera</x:v>
      </x:c>
      <x:c r="C75" s="18" t="str">
        <x:v>rock paper scissors</x:v>
      </x:c>
      <x:c r="D75" s="19" t="n">
        <x:v>301000</x:v>
      </x:c>
      <x:c r="E75" s="18" t="str">
        <x:v>≥300.000</x:v>
      </x:c>
      <x:c r="F75" s="18" t="str">
        <x:v>Prioridad por demanda; falta viabilidad</x:v>
      </x:c>
      <x:c r="G75" s="18" t="str">
        <x:v>Juegos</x:v>
      </x:c>
      <x:c r="H75" s="18" t="str">
        <x:v>https://tools.usefulverse.com/tools/rock-paper-scissors/</x:v>
      </x:c>
      <x:c r="I75" s="18" t="str">
        <x:v>Jugar rondas contra elección aleatoria local o por turnos con marcador.</x:v>
      </x:c>
      <x:c r="J75" s="18" t="str">
        <x:v>random-number-generator no gestiona rondas y reglas de victoria del juego.</x:v>
      </x:c>
      <x:c r="K75" s="18" t="str">
        <x:v>Gráficos propios y aleatoriedad explícita.</x:v>
      </x:c>
      <x:c r="L75" s="18" t="str">
        <x:v>Cálculo/editor/juego local propuesto</x:v>
      </x:c>
      <x:c r="M75" s="18" t="str">
        <x:v>Revisar motor, recursos y dependencias</x:v>
      </x:c>
      <x:c r="N75" s="18" t="str">
        <x:v>Interfaz en 37 idiomas; idioma no elige país ni reglas. Reglas y variante elegibles; ayudas claras y arte propio.</x:v>
      </x:c>
      <x:c r="O75" s="18" t="str">
        <x:v>global-initial-screen.json</x:v>
      </x:c>
      <x:c r="P75" s="18" t="str">
        <x:v>2025-10 / 2026-09</x:v>
      </x:c>
      <x:c r="Q75" s="18" t="str">
        <x:v>M</x:v>
      </x:c>
      <x:c r="R75" s="18" t="str">
        <x:v>UV0759</x:v>
      </x:c>
      <x:c r="S75" s="18" t="str">
        <x:v>Pendiente de fuente específica antes de implementar</x:v>
      </x:c>
    </x:row>
    <x:row r="76" ht="64" customHeight="1">
      <x:c r="A76" s="18" t="n">
        <x:v>60</x:v>
      </x:c>
      <x:c r="B76" s="18" t="str">
        <x:v>Verdad o reto</x:v>
      </x:c>
      <x:c r="C76" s="18" t="str">
        <x:v>truth or dare</x:v>
      </x:c>
      <x:c r="D76" s="19" t="n">
        <x:v>301000</x:v>
      </x:c>
      <x:c r="E76" s="18" t="str">
        <x:v>≥300.000</x:v>
      </x:c>
      <x:c r="F76" s="18" t="str">
        <x:v>Prioridad por demanda; falta viabilidad</x:v>
      </x:c>
      <x:c r="G76" s="18" t="str">
        <x:v>Juegos</x:v>
      </x:c>
      <x:c r="H76" s="18" t="str">
        <x:v>https://tools.usefulverse.com/tools/truth-or-dare/</x:v>
      </x:c>
      <x:c r="I76" s="18" t="str">
        <x:v>Elegir categoría de edad y límites, turnar jugadores y seleccionar preguntas originales.</x:v>
      </x:c>
      <x:c r="J76" s="18" t="str">
        <x:v>quiz-maker califica respuestas; aquí se facilita un juego social sin respuestas correctas.</x:v>
      </x:c>
      <x:c r="K76" s="18" t="str">
        <x:v>Contenido propio, filtros de edad y omisión sin penalización.</x:v>
      </x:c>
      <x:c r="L76" s="18" t="str">
        <x:v>Cálculo/editor/juego local propuesto</x:v>
      </x:c>
      <x:c r="M76" s="18" t="str">
        <x:v>Revisar motor, recursos y dependencias</x:v>
      </x:c>
      <x:c r="N76" s="18" t="str">
        <x:v>Interfaz en 37 idiomas; idioma no elige país ni reglas. Reglas y variante elegibles; ayudas claras y arte propio.</x:v>
      </x:c>
      <x:c r="O76" s="18" t="str">
        <x:v>global-initial-screen.json</x:v>
      </x:c>
      <x:c r="P76" s="18" t="str">
        <x:v>2025-10 / 2026-09</x:v>
      </x:c>
      <x:c r="Q76" s="18" t="str">
        <x:v>M</x:v>
      </x:c>
      <x:c r="R76" s="18" t="str">
        <x:v>UV0760</x:v>
      </x:c>
      <x:c r="S76" s="18" t="str">
        <x:v>Pendiente de fuente específica antes de implementar</x:v>
      </x:c>
    </x:row>
    <x:row r="77" ht="64" customHeight="1">
      <x:c r="A77" s="18" t="n">
        <x:v>61</x:v>
      </x:c>
      <x:c r="B77" s="18" t="str">
        <x:v>Stamp Duty y equivalentes británicos</x:v>
      </x:c>
      <x:c r="C77" s="18" t="str">
        <x:v>stamp duty calculator</x:v>
      </x:c>
      <x:c r="D77" s="19" t="n">
        <x:v>301000</x:v>
      </x:c>
      <x:c r="E77" s="18" t="str">
        <x:v>≥300.000</x:v>
      </x:c>
      <x:c r="F77" s="18" t="str">
        <x:v>Prioridad por demanda; falta viabilidad</x:v>
      </x:c>
      <x:c r="G77" s="18" t="str">
        <x:v>Finanzas</x:v>
      </x:c>
      <x:c r="H77" s="18" t="str">
        <x:v>https://tools.usefulverse.com/tools/uk-stamp-duty/</x:v>
      </x:c>
      <x:c r="I77" s="18" t="str">
        <x:v>Calcular impuesto de compra de inmueble con territorio, residencia y propiedad adicional.</x:v>
      </x:c>
      <x:c r="J77" s="18" t="str">
        <x:v>norway-property-transfer-fee-calculator no aplica bandas y recargos británicos.</x:v>
      </x:c>
      <x:c r="K77" s="18" t="str">
        <x:v>Fuentes oficiales de cada territorio y fecha de transmisión.</x:v>
      </x:c>
      <x:c r="L77" s="18" t="str">
        <x:v>Cálculo/editor/juego local propuesto</x:v>
      </x:c>
      <x:c r="M77" s="18" t="str">
        <x:v>Alta: normativa y tablas por ejercicio</x:v>
      </x:c>
      <x:c r="N77" s="18" t="str">
        <x:v>Interfaz en 37 idiomas; idioma no elige país ni reglas. Jurisdicción y año visibles; fuentes oficiales del país.</x:v>
      </x:c>
      <x:c r="O77" s="18" t="str">
        <x:v>global-candidates.json</x:v>
      </x:c>
      <x:c r="P77" s="18" t="str">
        <x:v>2025-10 / 2026-09</x:v>
      </x:c>
      <x:c r="Q77" s="18" t="str">
        <x:v>L</x:v>
      </x:c>
      <x:c r="R77" s="18" t="str">
        <x:v>UV0761</x:v>
      </x:c>
      <x:c r="S77" s="18" t="str">
        <x:v>https://www.gov.uk/government/collections/rates-and-allowances-hm-revenue-and-customs</x:v>
      </x:c>
    </x:row>
    <x:row r="78" ht="64" customHeight="1">
      <x:c r="A78" s="18" t="n">
        <x:v>62</x:v>
      </x:c>
      <x:c r="B78" s="18" t="str">
        <x:v>Tiros de baloncesto</x:v>
      </x:c>
      <x:c r="C78" s="18" t="str">
        <x:v>basketball games</x:v>
      </x:c>
      <x:c r="D78" s="19" t="n">
        <x:v>246000</x:v>
      </x:c>
      <x:c r="E78" s="18" t="str">
        <x:v>Cercana: 240.000–299.999</x:v>
      </x:c>
      <x:c r="F78" s="18" t="str">
        <x:v>Alternativa cercana; falta viabilidad</x:v>
      </x:c>
      <x:c r="G78" s="18" t="str">
        <x:v>Juegos</x:v>
      </x:c>
      <x:c r="H78" s="18" t="str">
        <x:v>https://tools.usefulverse.com/tools/basketball-shooting-game/</x:v>
      </x:c>
      <x:c r="I78" s="18" t="str">
        <x:v>Practicar lanzamientos con fuerza y ángulo y superar retos de puntuación.</x:v>
      </x:c>
      <x:c r="J78" s="18" t="str">
        <x:v>projectile-motion-calculator calcula trayectorias; no presenta un juego deportivo.</x:v>
      </x:c>
      <x:c r="K78" s="18" t="str">
        <x:v>Arte propio y keyword sin marca o resultados de liga.</x:v>
      </x:c>
      <x:c r="L78" s="18" t="str">
        <x:v>Cálculo/editor/juego local propuesto</x:v>
      </x:c>
      <x:c r="M78" s="18" t="str">
        <x:v>Revisar motor, recursos y dependencias</x:v>
      </x:c>
      <x:c r="N78" s="18" t="str">
        <x:v>Interfaz en 37 idiomas; idioma no elige país ni reglas. Reglas y variante elegibles; ayudas claras y arte propio.</x:v>
      </x:c>
      <x:c r="O78" s="18" t="str">
        <x:v>global-candidates.json</x:v>
      </x:c>
      <x:c r="P78" s="18" t="str">
        <x:v>2025-10 / 2026-09</x:v>
      </x:c>
      <x:c r="Q78" s="18" t="str">
        <x:v>M</x:v>
      </x:c>
      <x:c r="R78" s="18" t="str">
        <x:v>UV0762</x:v>
      </x:c>
      <x:c r="S78" s="18" t="str">
        <x:v>Pendiente de fuente específica antes de implementar</x:v>
      </x:c>
    </x:row>
    <x:row r="79" ht="64" customHeight="1">
      <x:c r="A79" s="18" t="n">
        <x:v>63</x:v>
      </x:c>
      <x:c r="B79" s="18" t="str">
        <x:v>Mímica</x:v>
      </x:c>
      <x:c r="C79" s="18" t="str">
        <x:v>charades</x:v>
      </x:c>
      <x:c r="D79" s="19" t="n">
        <x:v>246000</x:v>
      </x:c>
      <x:c r="E79" s="18" t="str">
        <x:v>Cercana: 240.000–299.999</x:v>
      </x:c>
      <x:c r="F79" s="18" t="str">
        <x:v>Alternativa cercana; falta viabilidad</x:v>
      </x:c>
      <x:c r="G79" s="18" t="str">
        <x:v>Juegos</x:v>
      </x:c>
      <x:c r="H79" s="18" t="str">
        <x:v>https://tools.usefulverse.com/tools/charades/</x:v>
      </x:c>
      <x:c r="I79" s="18" t="str">
        <x:v>Asignar palabras por categorías, temporizar turnos y llevar marcador por equipos.</x:v>
      </x:c>
      <x:c r="J79" s="18" t="str">
        <x:v>random-word-generator no gestiona mímica, turnos ni equipos.</x:v>
      </x:c>
      <x:c r="K79" s="18" t="str">
        <x:v>Bancos de palabras adaptados al idioma y cultura elegidos.</x:v>
      </x:c>
      <x:c r="L79" s="18" t="str">
        <x:v>Cálculo/editor/juego local propuesto</x:v>
      </x:c>
      <x:c r="M79" s="18" t="str">
        <x:v>Revisar motor, recursos y dependencias</x:v>
      </x:c>
      <x:c r="N79" s="18" t="str">
        <x:v>Interfaz en 37 idiomas; idioma no elige país ni reglas. Reglas y variante elegibles; ayudas claras y arte propio.</x:v>
      </x:c>
      <x:c r="O79" s="18" t="str">
        <x:v>global-initial-screen.json</x:v>
      </x:c>
      <x:c r="P79" s="18" t="str">
        <x:v>2025-10 / 2026-09</x:v>
      </x:c>
      <x:c r="Q79" s="18" t="str">
        <x:v>M</x:v>
      </x:c>
      <x:c r="R79" s="18" t="str">
        <x:v>UV0763</x:v>
      </x:c>
      <x:c r="S79" s="18" t="str">
        <x:v>Pendiente de fuente específica antes de implementar</x:v>
      </x:c>
    </x:row>
    <x:row r="80" ht="64" customHeight="1">
      <x:c r="A80" s="18" t="n">
        <x:v>64</x:v>
      </x:c>
      <x:c r="B80" s="18" t="str">
        <x:v>Durak</x:v>
      </x:c>
      <x:c r="C80" s="18" t="str">
        <x:v>дурак онлайн</x:v>
      </x:c>
      <x:c r="D80" s="19" t="n">
        <x:v>246000</x:v>
      </x:c>
      <x:c r="E80" s="18" t="str">
        <x:v>Cercana: 240.000–299.999</x:v>
      </x:c>
      <x:c r="F80" s="18" t="str">
        <x:v>Alternativa cercana; falta viabilidad</x:v>
      </x:c>
      <x:c r="G80" s="18" t="str">
        <x:v>Juegos</x:v>
      </x:c>
      <x:c r="H80" s="18" t="str">
        <x:v>https://tools.usefulverse.com/tools/durak/</x:v>
      </x:c>
      <x:c r="I80" s="18" t="str">
        <x:v>Jugar ataque, defensa y recogida con triunfo contra bots locales.</x:v>
      </x:c>
      <x:c r="J80" s="18" t="str">
        <x:v>No existe este juego de descarte por ataque y defensa.</x:v>
      </x:c>
      <x:c r="K80" s="18" t="str">
        <x:v>Variantes transferible y lanzado con reglas elegibles.</x:v>
      </x:c>
      <x:c r="L80" s="18" t="str">
        <x:v>Cálculo/editor/juego local propuesto</x:v>
      </x:c>
      <x:c r="M80" s="18" t="str">
        <x:v>Revisar motor, recursos y dependencias</x:v>
      </x:c>
      <x:c r="N80" s="18" t="str">
        <x:v>Interfaz en 37 idiomas; idioma no elige país ni reglas. Reglas y variante elegibles; ayudas claras y arte propio.</x:v>
      </x:c>
      <x:c r="O80" s="18" t="str">
        <x:v>global-candidates.json</x:v>
      </x:c>
      <x:c r="P80" s="18" t="str">
        <x:v>2025-10 / 2026-09</x:v>
      </x:c>
      <x:c r="Q80" s="18" t="str">
        <x:v>M</x:v>
      </x:c>
      <x:c r="R80" s="18" t="str">
        <x:v>UV0764</x:v>
      </x:c>
      <x:c r="S80" s="18" t="str">
        <x:v>Pendiente de fuente específica antes de implementar</x:v>
      </x:c>
    </x:row>
    <x:row r="81" ht="64" customHeight="1">
      <x:c r="A81" s="18" t="n">
        <x:v>65</x:v>
      </x:c>
      <x:c r="B81" s="18" t="str">
        <x:v>Estimador de filtrado glomerular</x:v>
      </x:c>
      <x:c r="C81" s="18" t="str">
        <x:v>egfr calculator</x:v>
      </x:c>
      <x:c r="D81" s="19" t="n">
        <x:v>246000</x:v>
      </x:c>
      <x:c r="E81" s="18" t="str">
        <x:v>Cercana: 240.000–299.999</x:v>
      </x:c>
      <x:c r="F81" s="18" t="str">
        <x:v>Alternativa cercana; falta viabilidad</x:v>
      </x:c>
      <x:c r="G81" s="18" t="str">
        <x:v>Bienestar</x:v>
      </x:c>
      <x:c r="H81" s="18" t="str">
        <x:v>https://tools.usefulverse.com/tools/egfr-calculator/</x:v>
      </x:c>
      <x:c r="I81" s="18" t="str">
        <x:v>Aplicar una ecuación clínica elegida a datos de laboratorio con unidades y versión visibles.</x:v>
      </x:c>
      <x:c r="J81" s="18" t="str">
        <x:v>body-surface-area-calculator estima superficie; no función renal.</x:v>
      </x:c>
      <x:c r="K81" s="18" t="str">
        <x:v>Guía y ecuación vigentes, sin diagnóstico ni ajuste automático de medicación.</x:v>
      </x:c>
      <x:c r="L81" s="18" t="str">
        <x:v>Cálculo/editor/juego local propuesto</x:v>
      </x:c>
      <x:c r="M81" s="18" t="str">
        <x:v>Revisar motor, recursos y dependencias</x:v>
      </x:c>
      <x:c r="N81" s="18" t="str">
        <x:v>Interfaz en 37 idiomas; idioma no elige país ni reglas. Formatos Intl, RTL y datos/lexicón de idioma con cobertura explícita.</x:v>
      </x:c>
      <x:c r="O81" s="18" t="str">
        <x:v>global-candidates.json</x:v>
      </x:c>
      <x:c r="P81" s="18" t="str">
        <x:v>2025-10 / 2026-09</x:v>
      </x:c>
      <x:c r="Q81" s="18" t="str">
        <x:v>L</x:v>
      </x:c>
      <x:c r="R81" s="18" t="str">
        <x:v>UV0765</x:v>
      </x:c>
      <x:c r="S81" s="18" t="str">
        <x:v>Pendiente de fuente específica antes de implementar</x:v>
      </x:c>
    </x:row>
    <x:row r="82" ht="64" customHeight="1">
      <x:c r="A82" s="18" t="n">
        <x:v>66</x:v>
      </x:c>
      <x:c r="B82" s="18" t="str">
        <x:v>Public Provident Fund de India</x:v>
      </x:c>
      <x:c r="C82" s="18" t="str">
        <x:v>ppf calculator</x:v>
      </x:c>
      <x:c r="D82" s="19" t="n">
        <x:v>246000</x:v>
      </x:c>
      <x:c r="E82" s="18" t="str">
        <x:v>Cercana: 240.000–299.999</x:v>
      </x:c>
      <x:c r="F82" s="18" t="str">
        <x:v>Alternativa cercana; falta viabilidad</x:v>
      </x:c>
      <x:c r="G82" s="18" t="str">
        <x:v>Finanzas</x:v>
      </x:c>
      <x:c r="H82" s="18" t="str">
        <x:v>https://tools.usefulverse.com/tools/india-ppf-calculator/</x:v>
      </x:c>
      <x:c r="I82" s="18" t="str">
        <x:v>Proyectar un PPF con reglas de aportación, corte mensual, vencimiento y extensión.</x:v>
      </x:c>
      <x:c r="J82" s="18" t="str">
        <x:v>compound-interest-calculator no aplica límites ni fechas elegibles del producto regulado.</x:v>
      </x:c>
      <x:c r="K82" s="18" t="str">
        <x:v>Tasa y reglas oficiales fechadas; entrada de tasa manual para escenarios futuros.</x:v>
      </x:c>
      <x:c r="L82" s="18" t="str">
        <x:v>Cálculo/editor/juego local propuesto</x:v>
      </x:c>
      <x:c r="M82" s="18" t="str">
        <x:v>Alta: normativa y tablas por ejercicio</x:v>
      </x:c>
      <x:c r="N82" s="18" t="str">
        <x:v>Interfaz en 37 idiomas; idioma no elige país ni reglas. Jurisdicción y año visibles; fuentes oficiales del país.</x:v>
      </x:c>
      <x:c r="O82" s="18" t="str">
        <x:v>global-candidates.json</x:v>
      </x:c>
      <x:c r="P82" s="18" t="str">
        <x:v>2025-10 / 2026-09</x:v>
      </x:c>
      <x:c r="Q82" s="18" t="str">
        <x:v>L</x:v>
      </x:c>
      <x:c r="R82" s="18" t="str">
        <x:v>UV0766</x:v>
      </x:c>
      <x:c r="S82" s="18" t="str">
        <x:v>Pendiente de fuente específica antes de implementar</x:v>
      </x:c>
    </x:row>
    <x:row r="83" ht="64" customHeight="1">
      <x:c r="A83" s="18" t="n">
        <x:v>67</x:v>
      </x:c>
      <x:c r="B83" s="18" t="str">
        <x:v>Identificador de música</x:v>
      </x:c>
      <x:c r="C83" s="18" t="str">
        <x:v>song finder</x:v>
      </x:c>
      <x:c r="D83" s="19" t="n">
        <x:v>246000</x:v>
      </x:c>
      <x:c r="E83" s="18" t="str">
        <x:v>Cercana: 240.000–299.999</x:v>
      </x:c>
      <x:c r="F83" s="18" t="str">
        <x:v>Alternativa cercana; falta viabilidad</x:v>
      </x:c>
      <x:c r="G83" s="18" t="str">
        <x:v>Música</x:v>
      </x:c>
      <x:c r="H83" s="18" t="str">
        <x:v>https://tools.usefulverse.com/tools/music-identifier/</x:v>
      </x:c>
      <x:c r="I83" s="18" t="str">
        <x:v>Comparar una huella de audio con un catálogo permitido y devolver coincidencias citadas.</x:v>
      </x:c>
      <x:c r="J83" s="18" t="str">
        <x:v>song-key-finder identifica tonalidad, no el título de una grabación.</x:v>
      </x:c>
      <x:c r="K83" s="18" t="str">
        <x:v>Índice y API con permiso y coste cero demostrados; no hay catálogo universal gratis asumido.</x:v>
      </x:c>
      <x:c r="L83" s="18" t="str">
        <x:v>Servicio/datos externos: condiciones y cuotas pendientes</x:v>
      </x:c>
      <x:c r="M83" s="18" t="str">
        <x:v>Datos: revisar fuente, licencia y cadencia</x:v>
      </x:c>
      <x:c r="N83" s="18" t="str">
        <x:v>Interfaz en 37 idiomas; idioma no elige país ni reglas. Formatos Intl, RTL y datos/lexicón de idioma con cobertura explícita.</x:v>
      </x:c>
      <x:c r="O83" s="18" t="str">
        <x:v>discovery-creative-learning.json</x:v>
      </x:c>
      <x:c r="P83" s="18" t="str">
        <x:v>2025-10 / 2026-09</x:v>
      </x:c>
      <x:c r="Q83" s="18" t="str">
        <x:v>L</x:v>
      </x:c>
      <x:c r="R83" s="18" t="str">
        <x:v>UV0767</x:v>
      </x:c>
      <x:c r="S83" s="18" t="str">
        <x:v>Pendiente de fuente específica antes de implementar</x:v>
      </x:c>
    </x:row>
    <x:row r="84" ht="64" customHeight="1">
      <x:c r="A84" s="18" t="n">
        <x:v>68</x:v>
      </x:c>
      <x:c r="B84" s="18" t="str">
        <x:v>Explorador de color personal</x:v>
      </x:c>
      <x:c r="C84" s="18" t="str">
        <x:v>パーソナルカラー診断</x:v>
      </x:c>
      <x:c r="D84" s="19" t="n">
        <x:v>246000</x:v>
      </x:c>
      <x:c r="E84" s="18" t="str">
        <x:v>Cercana: 240.000–299.999</x:v>
      </x:c>
      <x:c r="F84" s="18" t="str">
        <x:v>Alternativa cercana; falta viabilidad</x:v>
      </x:c>
      <x:c r="G84" s="18" t="str">
        <x:v>Creatividad</x:v>
      </x:c>
      <x:c r="H84" s="18" t="str">
        <x:v>https://tools.usefulverse.com/tools/personal-color-analysis/</x:v>
      </x:c>
      <x:c r="I84" s="18" t="str">
        <x:v>Comparar paletas sobre una foto y guardar combinaciones preferidas con control de iluminación.</x:v>
      </x:c>
      <x:c r="J84" s="18" t="str">
        <x:v>color-palette-from-image extrae colores; aquí se comparan paletas sobre el aspecto personal.</x:v>
      </x:c>
      <x:c r="K84" s="18" t="str">
        <x:v>No diagnosticar un tipo objetivo por foto; método y límites explícitos.</x:v>
      </x:c>
      <x:c r="L84" s="18" t="str">
        <x:v>Modelo local: licencia y rendimiento pendientes</x:v>
      </x:c>
      <x:c r="M84" s="18" t="str">
        <x:v>Revisar motor, recursos y dependencias</x:v>
      </x:c>
      <x:c r="N84" s="18" t="str">
        <x:v>Interfaz en 37 idiomas; idioma no elige país ni reglas. Formatos Intl, RTL y datos/lexicón de idioma con cobertura explícita.</x:v>
      </x:c>
      <x:c r="O84" s="18" t="str">
        <x:v>global-refinement.json</x:v>
      </x:c>
      <x:c r="P84" s="18" t="str">
        <x:v>2025-10 / 2026-09</x:v>
      </x:c>
      <x:c r="Q84" s="18" t="str">
        <x:v>L</x:v>
      </x:c>
      <x:c r="R84" s="18" t="str">
        <x:v>UV0768</x:v>
      </x:c>
      <x:c r="S84" s="18" t="str">
        <x:v>https://github.com/huggingface/transformers.js</x:v>
      </x:c>
    </x:row>
    <x:row r="85" ht="64" customHeight="1">
      <x:c r="A85" s="18" t="n">
        <x:v>69</x:v>
      </x:c>
      <x:c r="B85" s="18" t="str">
        <x:v>Compartir pantalla entre dispositivos</x:v>
      </x:c>
      <x:c r="C85" s="18" t="str">
        <x:v>screen mirroring</x:v>
      </x:c>
      <x:c r="D85" s="19" t="n">
        <x:v>246000</x:v>
      </x:c>
      <x:c r="E85" s="18" t="str">
        <x:v>Cercana: 240.000–299.999</x:v>
      </x:c>
      <x:c r="F85" s="18" t="str">
        <x:v>Alternativa cercana; falta viabilidad</x:v>
      </x:c>
      <x:c r="G85" s="18" t="str">
        <x:v>Desarrollo</x:v>
      </x:c>
      <x:c r="H85" s="18" t="str">
        <x:v>https://tools.usefulverse.com/tools/screen-mirroring/</x:v>
      </x:c>
      <x:c r="I85" s="18" t="str">
        <x:v>Enviar una pantalla a otro dispositivo mediante conexión WebRTC iniciada por el usuario.</x:v>
      </x:c>
      <x:c r="J85" s="18" t="str">
        <x:v>screen-recorder guarda un vídeo; aquí el destino es una visualización en tiempo real.</x:v>
      </x:c>
      <x:c r="K85" s="18" t="str">
        <x:v>Señalización manual; no prometer conexión entre redes sin TURN ni backend financiado.</x:v>
      </x:c>
      <x:c r="L85" s="18" t="str">
        <x:v>Servicio/datos externos: condiciones y cuotas pendientes</x:v>
      </x:c>
      <x:c r="M85" s="18" t="str">
        <x:v>Datos: revisar fuente, licencia y cadencia</x:v>
      </x:c>
      <x:c r="N85" s="18" t="str">
        <x:v>Interfaz en 37 idiomas; idioma no elige país ni reglas. Formatos Intl, RTL y datos/lexicón de idioma con cobertura explícita.</x:v>
      </x:c>
      <x:c r="O85" s="18" t="str">
        <x:v>global-candidates.json</x:v>
      </x:c>
      <x:c r="P85" s="18" t="str">
        <x:v>2025-10 / 2026-09</x:v>
      </x:c>
      <x:c r="Q85" s="18" t="str">
        <x:v>L</x:v>
      </x:c>
      <x:c r="R85" s="18" t="str">
        <x:v>UV0769</x:v>
      </x:c>
      <x:c r="S85" s="18" t="str">
        <x:v>Pendiente de fuente específica antes de implementar</x:v>
      </x:c>
    </x:row>
    <x:row r="86" ht="64" customHeight="1">
      <x:c r="A86" s="18" t="n">
        <x:v>70</x:v>
      </x:c>
      <x:c r="B86" s="18" t="str">
        <x:v>Lienzo de modelo de negocio</x:v>
      </x:c>
      <x:c r="C86" s="18" t="str">
        <x:v>business model canvas</x:v>
      </x:c>
      <x:c r="D86" s="19" t="n">
        <x:v>201000</x:v>
      </x:c>
      <x:c r="E86" s="18" t="str">
        <x:v>Inferior a 240.000</x:v>
      </x:c>
      <x:c r="F86" s="18" t="str">
        <x:v>Reserva: NO cumple demanda autorizada</x:v>
      </x:c>
      <x:c r="G86" s="18" t="str">
        <x:v>Trabajo</x:v>
      </x:c>
      <x:c r="H86" s="18" t="str">
        <x:v>https://tools.usefulverse.com/tools/business-model-canvas/</x:v>
      </x:c>
      <x:c r="I86" s="18" t="str">
        <x:v>Completar bloques, vincular hipótesis y exportar un lienzo con registro de validación.</x:v>
      </x:c>
      <x:c r="J86" s="18" t="str">
        <x:v>project-risk-matrix solo prioriza riesgos; no representa un modelo de negocio.</x:v>
      </x:c>
      <x:c r="K86" s="18" t="str">
        <x:v>Verificar licencia del diseño de lienzo y atribución; contenido del usuario.</x:v>
      </x:c>
      <x:c r="L86" s="18" t="str">
        <x:v>Cálculo/editor/juego local propuesto</x:v>
      </x:c>
      <x:c r="M86" s="18" t="str">
        <x:v>Revisar motor, recursos y dependencias</x:v>
      </x:c>
      <x:c r="N86" s="18" t="str">
        <x:v>Interfaz en 37 idiomas; idioma no elige país ni reglas. Formatos Intl, RTL y datos/lexicón de idioma con cobertura explícita.</x:v>
      </x:c>
      <x:c r="O86" s="18" t="str">
        <x:v>global-candidates.json</x:v>
      </x:c>
      <x:c r="P86" s="18" t="str">
        <x:v>2025-10 / 2026-09</x:v>
      </x:c>
      <x:c r="Q86" s="18" t="str">
        <x:v>M</x:v>
      </x:c>
      <x:c r="R86" s="18" t="str">
        <x:v>UV0770</x:v>
      </x:c>
      <x:c r="S86" s="18" t="str">
        <x:v>Pendiente de fuente específica antes de implementar</x:v>
      </x:c>
    </x:row>
    <x:row r="87" ht="64" customHeight="1">
      <x:c r="A87" s="18" t="n">
        <x:v>71</x:v>
      </x:c>
      <x:c r="B87" s="18" t="str">
        <x:v>Mapa de terremotos</x:v>
      </x:c>
      <x:c r="C87" s="18" t="str">
        <x:v>terremotos hoy</x:v>
      </x:c>
      <x:c r="D87" s="19" t="n">
        <x:v>201000</x:v>
      </x:c>
      <x:c r="E87" s="18" t="str">
        <x:v>Inferior a 240.000</x:v>
      </x:c>
      <x:c r="F87" s="18" t="str">
        <x:v>Reserva: NO cumple demanda autorizada</x:v>
      </x:c>
      <x:c r="G87" s="18" t="str">
        <x:v>Vida</x:v>
      </x:c>
      <x:c r="H87" s="18" t="str">
        <x:v>https://tools.usefulverse.com/tools/earthquake-map/</x:v>
      </x:c>
      <x:c r="I87" s="18" t="str">
        <x:v>Explorar eventos sísmicos de un feed oficial por magnitud y periodo con hora y fuente.</x:v>
      </x:c>
      <x:c r="J87" s="18" t="str">
        <x:v>geography-map-quiz no muestra eventos geofísicos actuales.</x:v>
      </x:c>
      <x:c r="K87" s="18" t="str">
        <x:v>Feed oficial USGS y condiciones; sin alerta garantizada ni predicción.</x:v>
      </x:c>
      <x:c r="L87" s="18" t="str">
        <x:v>Servicio/datos externos: condiciones y cuotas pendientes</x:v>
      </x:c>
      <x:c r="M87" s="18" t="str">
        <x:v>Datos: revisar fuente, licencia y cadencia</x:v>
      </x:c>
      <x:c r="N87" s="18" t="str">
        <x:v>Interfaz en 37 idiomas; idioma no elige país ni reglas. Formatos Intl, RTL y datos/lexicón de idioma con cobertura explícita.</x:v>
      </x:c>
      <x:c r="O87" s="18" t="str">
        <x:v>global-extras.json</x:v>
      </x:c>
      <x:c r="P87" s="18" t="str">
        <x:v>2025-10 / 2026-09</x:v>
      </x:c>
      <x:c r="Q87" s="18" t="str">
        <x:v>L</x:v>
      </x:c>
      <x:c r="R87" s="18" t="str">
        <x:v>UV0771</x:v>
      </x:c>
      <x:c r="S87" s="18" t="str">
        <x:v>Pendiente de fuente específica antes de implementar</x:v>
      </x:c>
    </x:row>
    <x:row r="88" ht="64" customHeight="1">
      <x:c r="A88" s="18" t="n">
        <x:v>72</x:v>
      </x:c>
      <x:c r="B88" s="18" t="str">
        <x:v>Calendario de publicaciones económicas</x:v>
      </x:c>
      <x:c r="C88" s="18" t="str">
        <x:v>economic calendar</x:v>
      </x:c>
      <x:c r="D88" s="19" t="n">
        <x:v>201000</x:v>
      </x:c>
      <x:c r="E88" s="18" t="str">
        <x:v>Inferior a 240.000</x:v>
      </x:c>
      <x:c r="F88" s="18" t="str">
        <x:v>Reserva: NO cumple demanda autorizada</x:v>
      </x:c>
      <x:c r="G88" s="18" t="str">
        <x:v>Finanzas</x:v>
      </x:c>
      <x:c r="H88" s="18" t="str">
        <x:v>https://tools.usefulverse.com/tools/economic-calendar/</x:v>
      </x:c>
      <x:c r="I88" s="18" t="str">
        <x:v>Agregar fechas de publicaciones oficiales y exportar avisos con zona horaria y fuente.</x:v>
      </x:c>
      <x:c r="J88" s="18" t="str">
        <x:v>printable-calendar-maker no agrega eventos oficiales ni distingue fecha prevista y revisada.</x:v>
      </x:c>
      <x:c r="K88" s="18" t="str">
        <x:v>Fuentes oficiales con permiso, sin cotizaciones ni consenso de analistas inventado.</x:v>
      </x:c>
      <x:c r="L88" s="18" t="str">
        <x:v>Servicio/datos externos: condiciones y cuotas pendientes</x:v>
      </x:c>
      <x:c r="M88" s="18" t="str">
        <x:v>Datos: revisar fuente, licencia y cadencia</x:v>
      </x:c>
      <x:c r="N88" s="18" t="str">
        <x:v>Interfaz en 37 idiomas; idioma no elige país ni reglas. Jurisdicción y año visibles; fuentes oficiales del país.</x:v>
      </x:c>
      <x:c r="O88" s="18" t="str">
        <x:v>global-extras.json</x:v>
      </x:c>
      <x:c r="P88" s="18" t="str">
        <x:v>2025-10 / 2026-09</x:v>
      </x:c>
      <x:c r="Q88" s="18" t="str">
        <x:v>L</x:v>
      </x:c>
      <x:c r="R88" s="18" t="str">
        <x:v>UV0772</x:v>
      </x:c>
      <x:c r="S88" s="18" t="str">
        <x:v>Pendiente de fuente específica antes de implementar</x:v>
      </x:c>
    </x:row>
    <x:row r="89" ht="64" customHeight="1">
      <x:c r="A89" s="18" t="n">
        <x:v>73</x:v>
      </x:c>
      <x:c r="B89" s="18" t="str">
        <x:v>Buscador de emojis</x:v>
      </x:c>
      <x:c r="C89" s="18" t="str">
        <x:v>emoji copy paste</x:v>
      </x:c>
      <x:c r="D89" s="19" t="n">
        <x:v>201000</x:v>
      </x:c>
      <x:c r="E89" s="18" t="str">
        <x:v>Inferior a 240.000</x:v>
      </x:c>
      <x:c r="F89" s="18" t="str">
        <x:v>Reserva: NO cumple demanda autorizada</x:v>
      </x:c>
      <x:c r="G89" s="18" t="str">
        <x:v>Idiomas</x:v>
      </x:c>
      <x:c r="H89" s="18" t="str">
        <x:v>https://tools.usefulverse.com/tools/emoji-search/</x:v>
      </x:c>
      <x:c r="I89" s="18" t="str">
        <x:v>Buscar emojis por nombre, copiar secuencias y comparar variantes Unicode.</x:v>
      </x:c>
      <x:c r="J89" s="18" t="str">
        <x:v>No hay catálogo Unicode de emojis; no usar la marca de un competidor como demanda aprobada.</x:v>
      </x:c>
      <x:c r="K89" s="18" t="str">
        <x:v>Datos Unicode CLDR con licencia; excluir keyword de marca del volumen calificable.</x:v>
      </x:c>
      <x:c r="L89" s="18" t="str">
        <x:v>Cálculo/editor/juego local propuesto</x:v>
      </x:c>
      <x:c r="M89" s="18" t="str">
        <x:v>Revisar motor, recursos y dependencias</x:v>
      </x:c>
      <x:c r="N89" s="18" t="str">
        <x:v>Interfaz en 37 idiomas; idioma no elige país ni reglas. Formatos Intl, RTL y datos/lexicón de idioma con cobertura explícita.</x:v>
      </x:c>
      <x:c r="O89" s="18" t="str">
        <x:v>global-final-screen.json</x:v>
      </x:c>
      <x:c r="P89" s="18" t="str">
        <x:v>2025-10 / 2026-09</x:v>
      </x:c>
      <x:c r="Q89" s="18" t="str">
        <x:v>M</x:v>
      </x:c>
      <x:c r="R89" s="18" t="str">
        <x:v>UV0773</x:v>
      </x:c>
      <x:c r="S89" s="18" t="str">
        <x:v>Pendiente de fuente específica antes de implementar</x:v>
      </x:c>
    </x:row>
    <x:row r="90" ht="64" customHeight="1">
      <x:c r="A90" s="18" t="n">
        <x:v>74</x:v>
      </x:c>
      <x:c r="B90" s="18" t="str">
        <x:v>Explorador de forma facial</x:v>
      </x:c>
      <x:c r="C90" s="18" t="str">
        <x:v>face shape detector</x:v>
      </x:c>
      <x:c r="D90" s="19" t="n">
        <x:v>201000</x:v>
      </x:c>
      <x:c r="E90" s="18" t="str">
        <x:v>Inferior a 240.000</x:v>
      </x:c>
      <x:c r="F90" s="18" t="str">
        <x:v>Reserva: NO cumple demanda autorizada</x:v>
      </x:c>
      <x:c r="G90" s="18" t="str">
        <x:v>Creatividad</x:v>
      </x:c>
      <x:c r="H90" s="18" t="str">
        <x:v>https://tools.usefulverse.com/tools/face-shape-analyzer/</x:v>
      </x:c>
      <x:c r="I90" s="18" t="str">
        <x:v>Marcar o detectar puntos, comparar proporciones y mostrar categorías aproximadas editables.</x:v>
      </x:c>
      <x:c r="J90" s="18" t="str">
        <x:v>portrait-background-remover segmenta el sujeto; no mide proporciones de la cara.</x:v>
      </x:c>
      <x:c r="K90" s="18" t="str">
        <x:v>Landmarks locales con licencia de pesos, consentimiento y datos no guardados por defecto.</x:v>
      </x:c>
      <x:c r="L90" s="18" t="str">
        <x:v>Modelo local: licencia y rendimiento pendientes</x:v>
      </x:c>
      <x:c r="M90" s="18" t="str">
        <x:v>Revisar motor, recursos y dependencias</x:v>
      </x:c>
      <x:c r="N90" s="18" t="str">
        <x:v>Interfaz en 37 idiomas; idioma no elige país ni reglas. Formatos Intl, RTL y datos/lexicón de idioma con cobertura explícita.</x:v>
      </x:c>
      <x:c r="O90" s="18" t="str">
        <x:v>global-extras.json</x:v>
      </x:c>
      <x:c r="P90" s="18" t="str">
        <x:v>2025-10 / 2026-09</x:v>
      </x:c>
      <x:c r="Q90" s="18" t="str">
        <x:v>L</x:v>
      </x:c>
      <x:c r="R90" s="18" t="str">
        <x:v>UV0774</x:v>
      </x:c>
      <x:c r="S90" s="18" t="str">
        <x:v>https://github.com/huggingface/transformers.js</x:v>
      </x:c>
    </x:row>
    <x:row r="91" ht="64" customHeight="1">
      <x:c r="A91" s="18" t="n">
        <x:v>75</x:v>
      </x:c>
      <x:c r="B91" s="18" t="str">
        <x:v>Ayuda de vivienda de Francia</x:v>
      </x:c>
      <x:c r="C91" s="18" t="str">
        <x:v>simulation apl</x:v>
      </x:c>
      <x:c r="D91" s="19" t="n">
        <x:v>201000</x:v>
      </x:c>
      <x:c r="E91" s="18" t="str">
        <x:v>Inferior a 240.000</x:v>
      </x:c>
      <x:c r="F91" s="18" t="str">
        <x:v>Reserva: NO cumple demanda autorizada</x:v>
      </x:c>
      <x:c r="G91" s="18" t="str">
        <x:v>Finanzas</x:v>
      </x:c>
      <x:c r="H91" s="18" t="str">
        <x:v>https://tools.usefulverse.com/tools/france-housing-benefit/</x:v>
      </x:c>
      <x:c r="I91" s="18" t="str">
        <x:v>Estimar ayuda con hogar, zona y vivienda bajo reglas y parámetros explícitos.</x:v>
      </x:c>
      <x:c r="J91" s="18" t="str">
        <x:v>norway-housing-benefit-calculator no aplica CAF ni los parámetros franceses.</x:v>
      </x:c>
      <x:c r="K91" s="18" t="str">
        <x:v>Reglas y fuentes oficiales; si no hay parámetros abiertos, mantener pendiente.</x:v>
      </x:c>
      <x:c r="L91" s="18" t="str">
        <x:v>Cálculo/editor/juego local propuesto</x:v>
      </x:c>
      <x:c r="M91" s="18" t="str">
        <x:v>Alta: normativa y tablas por ejercicio</x:v>
      </x:c>
      <x:c r="N91" s="18" t="str">
        <x:v>Interfaz en 37 idiomas; idioma no elige país ni reglas. Jurisdicción y año visibles; fuentes oficiales del país.</x:v>
      </x:c>
      <x:c r="O91" s="18" t="str">
        <x:v>global-candidates.json</x:v>
      </x:c>
      <x:c r="P91" s="18" t="str">
        <x:v>2025-10 / 2026-09</x:v>
      </x:c>
      <x:c r="Q91" s="18" t="str">
        <x:v>L</x:v>
      </x:c>
      <x:c r="R91" s="18" t="str">
        <x:v>UV0775</x:v>
      </x:c>
      <x:c r="S91" s="18" t="str">
        <x:v>Pendiente de fuente específica antes de implementar</x:v>
      </x:c>
    </x:row>
    <x:row r="92" ht="64" customHeight="1">
      <x:c r="A92" s="18" t="n">
        <x:v>76</x:v>
      </x:c>
      <x:c r="B92" s="18" t="str">
        <x:v>Pintura digital raster</x:v>
      </x:c>
      <x:c r="C92" s="18" t="str">
        <x:v>drawing app</x:v>
      </x:c>
      <x:c r="D92" s="19" t="n">
        <x:v>201000</x:v>
      </x:c>
      <x:c r="E92" s="18" t="str">
        <x:v>Inferior a 240.000</x:v>
      </x:c>
      <x:c r="F92" s="18" t="str">
        <x:v>Reserva: NO cumple demanda autorizada</x:v>
      </x:c>
      <x:c r="G92" s="18" t="str">
        <x:v>Creatividad</x:v>
      </x:c>
      <x:c r="H92" s="18" t="str">
        <x:v>https://tools.usefulverse.com/tools/online-paint/</x:v>
      </x:c>
      <x:c r="I92" s="18" t="str">
        <x:v>Pintar con pinceles, capas y selección en un lienzo raster.</x:v>
      </x:c>
      <x:c r="J92" s="18" t="str">
        <x:v>pixel-art-editor usa una cuadrícula pequeña; image-editor ajusta una foto sin pintar por capas.</x:v>
      </x:c>
      <x:c r="K92" s="18" t="str">
        <x:v>Motor Canvas local y límites de tamaño.</x:v>
      </x:c>
      <x:c r="L92" s="18" t="str">
        <x:v>Cálculo/editor/juego local propuesto</x:v>
      </x:c>
      <x:c r="M92" s="18" t="str">
        <x:v>Revisar motor, recursos y dependencias</x:v>
      </x:c>
      <x:c r="N92" s="18" t="str">
        <x:v>Interfaz en 37 idiomas; idioma no elige país ni reglas. Formatos Intl, RTL y datos/lexicón de idioma con cobertura explícita.</x:v>
      </x:c>
      <x:c r="O92" s="18" t="str">
        <x:v>global-candidates.json</x:v>
      </x:c>
      <x:c r="P92" s="18" t="str">
        <x:v>2025-10 / 2026-09</x:v>
      </x:c>
      <x:c r="Q92" s="18" t="str">
        <x:v>M</x:v>
      </x:c>
      <x:c r="R92" s="18" t="str">
        <x:v>UV0776</x:v>
      </x:c>
      <x:c r="S92" s="18" t="str">
        <x:v>Pendiente de fuente específica antes de implementar</x:v>
      </x:c>
    </x:row>
    <x:row r="93" ht="64" customHeight="1">
      <x:c r="A93" s="18" t="n">
        <x:v>77</x:v>
      </x:c>
      <x:c r="B93" s="18" t="str">
        <x:v>Optimizador de rutas con paradas</x:v>
      </x:c>
      <x:c r="C93" s="18" t="str">
        <x:v>route planner</x:v>
      </x:c>
      <x:c r="D93" s="19" t="n">
        <x:v>201000</x:v>
      </x:c>
      <x:c r="E93" s="18" t="str">
        <x:v>Inferior a 240.000</x:v>
      </x:c>
      <x:c r="F93" s="18" t="str">
        <x:v>Reserva: NO cumple demanda autorizada</x:v>
      </x:c>
      <x:c r="G93" s="18" t="str">
        <x:v>Vida</x:v>
      </x:c>
      <x:c r="H93" s="18" t="str">
        <x:v>https://tools.usefulverse.com/tools/travel-route-optimizer/</x:v>
      </x:c>
      <x:c r="I93" s="18" t="str">
        <x:v>Ordenar paradas y comparar recorrido con restricciones de inicio, final y horarios.</x:v>
      </x:c>
      <x:c r="J93" s="18" t="str">
        <x:v>travel-itinerary-planner organiza actividades; no optimiza un problema de rutas.</x:v>
      </x:c>
      <x:c r="K93" s="18" t="str">
        <x:v>Red vial abierta y licencia o matriz de distancias del usuario; no API facturable implícita.</x:v>
      </x:c>
      <x:c r="L93" s="18" t="str">
        <x:v>Servicio/datos externos: condiciones y cuotas pendientes</x:v>
      </x:c>
      <x:c r="M93" s="18" t="str">
        <x:v>Datos: revisar fuente, licencia y cadencia</x:v>
      </x:c>
      <x:c r="N93" s="18" t="str">
        <x:v>Interfaz en 37 idiomas; idioma no elige país ni reglas. Formatos Intl, RTL y datos/lexicón de idioma con cobertura explícita.</x:v>
      </x:c>
      <x:c r="O93" s="18" t="str">
        <x:v>global-candidates.json</x:v>
      </x:c>
      <x:c r="P93" s="18" t="str">
        <x:v>2025-10 / 2026-09</x:v>
      </x:c>
      <x:c r="Q93" s="18" t="str">
        <x:v>L</x:v>
      </x:c>
      <x:c r="R93" s="18" t="str">
        <x:v>UV0777</x:v>
      </x:c>
      <x:c r="S93" s="18" t="str">
        <x:v>Pendiente de fuente específica antes de implementar</x:v>
      </x:c>
    </x:row>
    <x:row r="94" ht="64" customHeight="1">
      <x:c r="A94" s="18" t="n">
        <x:v>78</x:v>
      </x:c>
      <x:c r="B94" s="18" t="str">
        <x:v>Truco</x:v>
      </x:c>
      <x:c r="C94" s="18" t="str">
        <x:v>truco</x:v>
      </x:c>
      <x:c r="D94" s="19" t="n">
        <x:v>201000</x:v>
      </x:c>
      <x:c r="E94" s="18" t="str">
        <x:v>Inferior a 240.000</x:v>
      </x:c>
      <x:c r="F94" s="18" t="str">
        <x:v>Reserva: NO cumple demanda autorizada</x:v>
      </x:c>
      <x:c r="G94" s="18" t="str">
        <x:v>Juegos</x:v>
      </x:c>
      <x:c r="H94" s="18" t="str">
        <x:v>https://tools.usefulverse.com/tools/truco/</x:v>
      </x:c>
      <x:c r="I94" s="18" t="str">
        <x:v>Jugar manos con cantos y jerarquía de cartas según variante seleccionada.</x:v>
      </x:c>
      <x:c r="J94" s="18" t="str">
        <x:v>No existe Truco; no tratar variantes argentina y brasileña como traducciones equivalentes.</x:v>
      </x:c>
      <x:c r="K94" s="18" t="str">
        <x:v>Una URL con perfiles de reglas y ayudas por país.</x:v>
      </x:c>
      <x:c r="L94" s="18" t="str">
        <x:v>Cálculo/editor/juego local propuesto</x:v>
      </x:c>
      <x:c r="M94" s="18" t="str">
        <x:v>Revisar motor, recursos y dependencias</x:v>
      </x:c>
      <x:c r="N94" s="18" t="str">
        <x:v>Interfaz en 37 idiomas; idioma no elige país ni reglas. Reglas y variante elegibles; ayudas claras y arte propio.</x:v>
      </x:c>
      <x:c r="O94" s="18" t="str">
        <x:v>global-candidates.json</x:v>
      </x:c>
      <x:c r="P94" s="18" t="str">
        <x:v>2025-10 / 2026-09</x:v>
      </x:c>
      <x:c r="Q94" s="18" t="str">
        <x:v>M</x:v>
      </x:c>
      <x:c r="R94" s="18" t="str">
        <x:v>UV0778</x:v>
      </x:c>
      <x:c r="S94" s="18" t="str">
        <x:v>Pendiente de fuente específica antes de implementar</x:v>
      </x:c>
    </x:row>
    <x:row r="95" ht="64" customHeight="1">
      <x:c r="A95" s="18" t="n">
        <x:v>79</x:v>
      </x:c>
      <x:c r="B95" s="18" t="str">
        <x:v>Salario neto del Reino Unido</x:v>
      </x:c>
      <x:c r="C95" s="18" t="str">
        <x:v>salary calculator uk</x:v>
      </x:c>
      <x:c r="D95" s="19" t="n">
        <x:v>201000</x:v>
      </x:c>
      <x:c r="E95" s="18" t="str">
        <x:v>Inferior a 240.000</x:v>
      </x:c>
      <x:c r="F95" s="18" t="str">
        <x:v>Reserva: NO cumple demanda autorizada</x:v>
      </x:c>
      <x:c r="G95" s="18" t="str">
        <x:v>Finanzas</x:v>
      </x:c>
      <x:c r="H95" s="18" t="str">
        <x:v>https://tools.usefulverse.com/tools/uk-pay-calculator/</x:v>
      </x:c>
      <x:c r="I95" s="18" t="str">
        <x:v>Estimar PAYE, National Insurance, pensión y código fiscal para territorio elegido.</x:v>
      </x:c>
      <x:c r="J95" s="18" t="str">
        <x:v>No hay cálculo de nómina británica con PAYE y NI.</x:v>
      </x:c>
      <x:c r="K95" s="18" t="str">
        <x:v>Reglas HMRC y diferencias de Escocia; ejercicio fiscal explícito.</x:v>
      </x:c>
      <x:c r="L95" s="18" t="str">
        <x:v>Cálculo/editor/juego local propuesto</x:v>
      </x:c>
      <x:c r="M95" s="18" t="str">
        <x:v>Alta: normativa y tablas por ejercicio</x:v>
      </x:c>
      <x:c r="N95" s="18" t="str">
        <x:v>Interfaz en 37 idiomas; idioma no elige país ni reglas. Jurisdicción y año visibles; fuentes oficiales del país.</x:v>
      </x:c>
      <x:c r="O95" s="18" t="str">
        <x:v>global-candidates.json</x:v>
      </x:c>
      <x:c r="P95" s="18" t="str">
        <x:v>2025-10 / 2026-09</x:v>
      </x:c>
      <x:c r="Q95" s="18" t="str">
        <x:v>L</x:v>
      </x:c>
      <x:c r="R95" s="18" t="str">
        <x:v>UV0779</x:v>
      </x:c>
      <x:c r="S95" s="18" t="str">
        <x:v>https://www.gov.uk/government/collections/rates-and-allowances-hm-revenue-and-customs</x:v>
      </x:c>
    </x:row>
    <x:row r="96" ht="64" customHeight="1">
      <x:c r="A96" s="18" t="n">
        <x:v>80</x:v>
      </x:c>
      <x:c r="B96" s="18" t="str">
        <x:v>Comprobación de agudeza visual</x:v>
      </x:c>
      <x:c r="C96" s="18" t="str">
        <x:v>eye test</x:v>
      </x:c>
      <x:c r="D96" s="19" t="n">
        <x:v>201000</x:v>
      </x:c>
      <x:c r="E96" s="18" t="str">
        <x:v>Inferior a 240.000</x:v>
      </x:c>
      <x:c r="F96" s="18" t="str">
        <x:v>Reserva: NO cumple demanda autorizada</x:v>
      </x:c>
      <x:c r="G96" s="18" t="str">
        <x:v>Bienestar</x:v>
      </x:c>
      <x:c r="H96" s="18" t="str">
        <x:v>https://tools.usefulverse.com/tools/visual-acuity-check/</x:v>
      </x:c>
      <x:c r="I96" s="18" t="str">
        <x:v>Mostrar optotipos a escala con distancia declarada y registrar respuestas.</x:v>
      </x:c>
      <x:c r="J96" s="18" t="str">
        <x:v>display-pixel-test comprueba la pantalla; no evalúa lectura de optotipos.</x:v>
      </x:c>
      <x:c r="K96" s="18" t="str">
        <x:v>Calibración de tamaño y distancia; no graduación ni diagnóstico.</x:v>
      </x:c>
      <x:c r="L96" s="18" t="str">
        <x:v>Cálculo/editor/juego local propuesto</x:v>
      </x:c>
      <x:c r="M96" s="18" t="str">
        <x:v>Revisar motor, recursos y dependencias</x:v>
      </x:c>
      <x:c r="N96" s="18" t="str">
        <x:v>Interfaz en 37 idiomas; idioma no elige país ni reglas. Formatos Intl, RTL y datos/lexicón de idioma con cobertura explícita.</x:v>
      </x:c>
      <x:c r="O96" s="18" t="str">
        <x:v>global-candidates.json</x:v>
      </x:c>
      <x:c r="P96" s="18" t="str">
        <x:v>2025-10 / 2026-09</x:v>
      </x:c>
      <x:c r="Q96" s="18" t="str">
        <x:v>L</x:v>
      </x:c>
      <x:c r="R96" s="18" t="str">
        <x:v>UV0780</x:v>
      </x:c>
      <x:c r="S96" s="18" t="str">
        <x:v>Pendiente de fuente específica antes de implementar</x:v>
      </x:c>
    </x:row>
    <x:row r="97" ht="64" customHeight="1">
      <x:c r="A97" s="18" t="n">
        <x:v>81</x:v>
      </x:c>
      <x:c r="B97" s="18" t="str">
        <x:v>Dados Craps de práctica</x:v>
      </x:c>
      <x:c r="C97" s="18" t="str">
        <x:v>craps</x:v>
      </x:c>
      <x:c r="D97" s="19" t="n">
        <x:v>165000</x:v>
      </x:c>
      <x:c r="E97" s="18" t="str">
        <x:v>Inferior a 240.000</x:v>
      </x:c>
      <x:c r="F97" s="18" t="str">
        <x:v>Reserva: NO cumple demanda autorizada</x:v>
      </x:c>
      <x:c r="G97" s="18" t="str">
        <x:v>Juegos</x:v>
      </x:c>
      <x:c r="H97" s="18" t="str">
        <x:v>https://tools.usefulverse.com/tools/craps-practice/</x:v>
      </x:c>
      <x:c r="I97" s="18" t="str">
        <x:v>Simular salida, punto y apuestas ficticias y explicar pagos y probabilidades.</x:v>
      </x:c>
      <x:c r="J97" s="18" t="str">
        <x:v>farkle-dice-game combina dados para puntuar; no usa el sistema de punto de Craps.</x:v>
      </x:c>
      <x:c r="K97" s="18" t="str">
        <x:v>Sin dinero real; validar demanda de simulador y no de apuestas.</x:v>
      </x:c>
      <x:c r="L97" s="18" t="str">
        <x:v>Cálculo/editor/juego local propuesto</x:v>
      </x:c>
      <x:c r="M97" s="18" t="str">
        <x:v>Revisar motor, recursos y dependencias</x:v>
      </x:c>
      <x:c r="N97" s="18" t="str">
        <x:v>Interfaz en 37 idiomas; idioma no elige país ni reglas. Reglas y variante elegibles; ayudas claras y arte propio.</x:v>
      </x:c>
      <x:c r="O97" s="18" t="str">
        <x:v>global-extras.json</x:v>
      </x:c>
      <x:c r="P97" s="18" t="str">
        <x:v>2025-10 / 2026-09</x:v>
      </x:c>
      <x:c r="Q97" s="18" t="str">
        <x:v>M</x:v>
      </x:c>
      <x:c r="R97" s="18" t="str">
        <x:v>UV0781</x:v>
      </x:c>
      <x:c r="S97" s="18" t="str">
        <x:v>Pendiente de fuente específica antes de implementar</x:v>
      </x:c>
    </x:row>
    <x:row r="98" ht="64" customHeight="1">
      <x:c r="A98" s="18" t="n">
        <x:v>82</x:v>
      </x:c>
      <x:c r="B98" s="18" t="str">
        <x:v>I Ching recreativo</x:v>
      </x:c>
      <x:c r="C98" s="18" t="str">
        <x:v>i ching</x:v>
      </x:c>
      <x:c r="D98" s="19" t="n">
        <x:v>165000</x:v>
      </x:c>
      <x:c r="E98" s="18" t="str">
        <x:v>Inferior a 240.000</x:v>
      </x:c>
      <x:c r="F98" s="18" t="str">
        <x:v>Reserva: NO cumple demanda autorizada</x:v>
      </x:c>
      <x:c r="G98" s="18" t="str">
        <x:v>Vida</x:v>
      </x:c>
      <x:c r="H98" s="18" t="str">
        <x:v>https://tools.usefulverse.com/tools/iching-cast/</x:v>
      </x:c>
      <x:c r="I98" s="18" t="str">
        <x:v>Simular un método de consulta, representar hexagramas y explicar cambios con textos propios.</x:v>
      </x:c>
      <x:c r="J98" s="18" t="str">
        <x:v>dice-poker-game puntúa dados; no construye hexagramas y líneas mutantes.</x:v>
      </x:c>
      <x:c r="K98" s="18" t="str">
        <x:v>Símbolos tradicionales y redacción propia, sin copiar traducciones modernas protegidas.</x:v>
      </x:c>
      <x:c r="L98" s="18" t="str">
        <x:v>Cálculo/editor/juego local propuesto</x:v>
      </x:c>
      <x:c r="M98" s="18" t="str">
        <x:v>Revisar motor, recursos y dependencias</x:v>
      </x:c>
      <x:c r="N98" s="18" t="str">
        <x:v>Interfaz en 37 idiomas; idioma no elige país ni reglas. Formatos Intl, RTL y datos/lexicón de idioma con cobertura explícita.</x:v>
      </x:c>
      <x:c r="O98" s="18" t="str">
        <x:v>global-extras.json</x:v>
      </x:c>
      <x:c r="P98" s="18" t="str">
        <x:v>2025-10 / 2026-09</x:v>
      </x:c>
      <x:c r="Q98" s="18" t="str">
        <x:v>M</x:v>
      </x:c>
      <x:c r="R98" s="18" t="str">
        <x:v>UV0782</x:v>
      </x:c>
      <x:c r="S98" s="18" t="str">
        <x:v>Pendiente de fuente específica antes de implementar</x:v>
      </x:c>
    </x:row>
    <x:row r="99" ht="64" customHeight="1">
      <x:c r="A99" s="18" t="n">
        <x:v>83</x:v>
      </x:c>
      <x:c r="B99" s="18" t="str">
        <x:v>Buscador de imágenes reutilizables</x:v>
      </x:c>
      <x:c r="C99" s="18" t="str">
        <x:v>free images</x:v>
      </x:c>
      <x:c r="D99" s="19" t="n">
        <x:v>165000</x:v>
      </x:c>
      <x:c r="E99" s="18" t="str">
        <x:v>Inferior a 240.000</x:v>
      </x:c>
      <x:c r="F99" s="18" t="str">
        <x:v>Reserva: NO cumple demanda autorizada</x:v>
      </x:c>
      <x:c r="G99" s="18" t="str">
        <x:v>Creatividad</x:v>
      </x:c>
      <x:c r="H99" s="18" t="str">
        <x:v>https://tools.usefulverse.com/tools/image-search-open/</x:v>
      </x:c>
      <x:c r="I99" s="18" t="str">
        <x:v>Buscar en un catálogo abierto con licencia y autor visibles y filtrar uso permitido.</x:v>
      </x:c>
      <x:c r="J99" s="18" t="str">
        <x:v>No hay búsqueda de imágenes; reverse image search es otro objetivo y no se atribuye a esta URL.</x:v>
      </x:c>
      <x:c r="K99" s="18" t="str">
        <x:v>API e imágenes con permisos de uso comercial y cuotas suficientes, sin proxy facturable.</x:v>
      </x:c>
      <x:c r="L99" s="18" t="str">
        <x:v>Servicio/datos externos: condiciones y cuotas pendientes</x:v>
      </x:c>
      <x:c r="M99" s="18" t="str">
        <x:v>Datos: revisar fuente, licencia y cadencia</x:v>
      </x:c>
      <x:c r="N99" s="18" t="str">
        <x:v>Interfaz en 37 idiomas; idioma no elige país ni reglas. Formatos Intl, RTL y datos/lexicón de idioma con cobertura explícita.</x:v>
      </x:c>
      <x:c r="O99" s="18" t="str">
        <x:v>global-final-screen.json</x:v>
      </x:c>
      <x:c r="P99" s="18" t="str">
        <x:v>2025-10 / 2026-09</x:v>
      </x:c>
      <x:c r="Q99" s="18" t="str">
        <x:v>L</x:v>
      </x:c>
      <x:c r="R99" s="18" t="str">
        <x:v>UV0783</x:v>
      </x:c>
      <x:c r="S99" s="18" t="str">
        <x:v>Pendiente de fuente específica antes de implementar</x:v>
      </x:c>
    </x:row>
    <x:row r="100" ht="64" customHeight="1">
      <x:c r="A100" s="18" t="n">
        <x:v>84</x:v>
      </x:c>
      <x:c r="B100" s="18" t="str">
        <x:v>National Pension System de India</x:v>
      </x:c>
      <x:c r="C100" s="18" t="str">
        <x:v>nps calculator</x:v>
      </x:c>
      <x:c r="D100" s="19" t="n">
        <x:v>165000</x:v>
      </x:c>
      <x:c r="E100" s="18" t="str">
        <x:v>Inferior a 240.000</x:v>
      </x:c>
      <x:c r="F100" s="18" t="str">
        <x:v>Reserva: NO cumple demanda autorizada</x:v>
      </x:c>
      <x:c r="G100" s="18" t="str">
        <x:v>Finanzas</x:v>
      </x:c>
      <x:c r="H100" s="18" t="str">
        <x:v>https://tools.usefulverse.com/tools/india-nps-calculator/</x:v>
      </x:c>
      <x:c r="I100" s="18" t="str">
        <x:v>Proyectar contribución y separación de retiro entre capital y renta vitalicia según reglas.</x:v>
      </x:c>
      <x:c r="J100" s="18" t="str">
        <x:v>pension-calculator calcula prestación definida, no acumulación y restricciones NPS.</x:v>
      </x:c>
      <x:c r="K100" s="18" t="str">
        <x:v>Normas oficiales vigentes; rentabilidad y renta introducidas por el usuario.</x:v>
      </x:c>
      <x:c r="L100" s="18" t="str">
        <x:v>Cálculo/editor/juego local propuesto</x:v>
      </x:c>
      <x:c r="M100" s="18" t="str">
        <x:v>Alta: normativa y tablas por ejercicio</x:v>
      </x:c>
      <x:c r="N100" s="18" t="str">
        <x:v>Interfaz en 37 idiomas; idioma no elige país ni reglas. Jurisdicción y año visibles; fuentes oficiales del país.</x:v>
      </x:c>
      <x:c r="O100" s="18" t="str">
        <x:v>global-candidates.json</x:v>
      </x:c>
      <x:c r="P100" s="18" t="str">
        <x:v>2025-10 / 2026-09</x:v>
      </x:c>
      <x:c r="Q100" s="18" t="str">
        <x:v>L</x:v>
      </x:c>
      <x:c r="R100" s="18" t="str">
        <x:v>UV0784</x:v>
      </x:c>
      <x:c r="S100" s="18" t="str">
        <x:v>Pendiente de fuente específica antes de implementar</x:v>
      </x:c>
    </x:row>
    <x:row r="101" ht="64" customHeight="1">
      <x:c r="A101" s="18" t="n">
        <x:v>85</x:v>
      </x:c>
      <x:c r="B101" s="18" t="str">
        <x:v>Makruk</x:v>
      </x:c>
      <x:c r="C101" s="18" t="str">
        <x:v>หมากรุกไทย</x:v>
      </x:c>
      <x:c r="D101" s="19" t="n">
        <x:v>165000</x:v>
      </x:c>
      <x:c r="E101" s="18" t="str">
        <x:v>Inferior a 240.000</x:v>
      </x:c>
      <x:c r="F101" s="18" t="str">
        <x:v>Reserva: NO cumple demanda autorizada</x:v>
      </x:c>
      <x:c r="G101" s="18" t="str">
        <x:v>Juegos</x:v>
      </x:c>
      <x:c r="H101" s="18" t="str">
        <x:v>https://tools.usefulverse.com/tools/makruk/</x:v>
      </x:c>
      <x:c r="I101" s="18" t="str">
        <x:v>Jugar ajedrez tailandés con movimientos y reglas de conteo de final.</x:v>
      </x:c>
      <x:c r="J101" s="18" t="str">
        <x:v>chess-game no implementa movimientos ni conteo de Makruk.</x:v>
      </x:c>
      <x:c r="K101" s="18" t="str">
        <x:v>Reglas de final explícitas y bot local.</x:v>
      </x:c>
      <x:c r="L101" s="18" t="str">
        <x:v>Cálculo/editor/juego local propuesto</x:v>
      </x:c>
      <x:c r="M101" s="18" t="str">
        <x:v>Revisar motor, recursos y dependencias</x:v>
      </x:c>
      <x:c r="N101" s="18" t="str">
        <x:v>Interfaz en 37 idiomas; idioma no elige país ni reglas. Reglas y variante elegibles; ayudas claras y arte propio.</x:v>
      </x:c>
      <x:c r="O101" s="18" t="str">
        <x:v>global-candidates.json</x:v>
      </x:c>
      <x:c r="P101" s="18" t="str">
        <x:v>2025-10 / 2026-09</x:v>
      </x:c>
      <x:c r="Q101" s="18" t="str">
        <x:v>M</x:v>
      </x:c>
      <x:c r="R101" s="18" t="str">
        <x:v>UV0785</x:v>
      </x:c>
      <x:c r="S101" s="18" t="str">
        <x:v>Pendiente de fuente específica antes de implementar</x:v>
      </x:c>
    </x:row>
    <x:row r="102" ht="64" customHeight="1">
      <x:c r="A102" s="18" t="n">
        <x:v>86</x:v>
      </x:c>
      <x:c r="B102" s="18" t="str">
        <x:v>Matriz RACI</x:v>
      </x:c>
      <x:c r="C102" s="18" t="str">
        <x:v>raci matrix</x:v>
      </x:c>
      <x:c r="D102" s="19" t="n">
        <x:v>165000</x:v>
      </x:c>
      <x:c r="E102" s="18" t="str">
        <x:v>Inferior a 240.000</x:v>
      </x:c>
      <x:c r="F102" s="18" t="str">
        <x:v>Reserva: NO cumple demanda autorizada</x:v>
      </x:c>
      <x:c r="G102" s="18" t="str">
        <x:v>Trabajo</x:v>
      </x:c>
      <x:c r="H102" s="18" t="str">
        <x:v>https://tools.usefulverse.com/tools/raci-matrix-builder/</x:v>
      </x:c>
      <x:c r="I102" s="18" t="str">
        <x:v>Asignar roles por tarea, detectar responsabilidades ambiguas y exportar matriz.</x:v>
      </x:c>
      <x:c r="J102" s="18" t="str">
        <x:v>org-chart-maker muestra jerarquía; no responsabilidades de procesos.</x:v>
      </x:c>
      <x:c r="K102" s="18" t="str">
        <x:v>Reglas locales y exportación sin cuentas.</x:v>
      </x:c>
      <x:c r="L102" s="18" t="str">
        <x:v>Cálculo/editor/juego local propuesto</x:v>
      </x:c>
      <x:c r="M102" s="18" t="str">
        <x:v>Revisar motor, recursos y dependencias</x:v>
      </x:c>
      <x:c r="N102" s="18" t="str">
        <x:v>Interfaz en 37 idiomas; idioma no elige país ni reglas. Formatos Intl, RTL y datos/lexicón de idioma con cobertura explícita.</x:v>
      </x:c>
      <x:c r="O102" s="18" t="str">
        <x:v>global-candidates.json</x:v>
      </x:c>
      <x:c r="P102" s="18" t="str">
        <x:v>2025-10 / 2026-09</x:v>
      </x:c>
      <x:c r="Q102" s="18" t="str">
        <x:v>M</x:v>
      </x:c>
      <x:c r="R102" s="18" t="str">
        <x:v>UV0786</x:v>
      </x:c>
      <x:c r="S102" s="18" t="str">
        <x:v>Pendiente de fuente específica antes de implementar</x:v>
      </x:c>
    </x:row>
    <x:row r="103" ht="64" customHeight="1">
      <x:c r="A103" s="18" t="n">
        <x:v>87</x:v>
      </x:c>
      <x:c r="B103" s="18" t="str">
        <x:v>Carreras contrarreloj</x:v>
      </x:c>
      <x:c r="C103" s="18" t="str">
        <x:v>racing game</x:v>
      </x:c>
      <x:c r="D103" s="19" t="n">
        <x:v>165000</x:v>
      </x:c>
      <x:c r="E103" s="18" t="str">
        <x:v>Inferior a 240.000</x:v>
      </x:c>
      <x:c r="F103" s="18" t="str">
        <x:v>Reserva: NO cumple demanda autorizada</x:v>
      </x:c>
      <x:c r="G103" s="18" t="str">
        <x:v>Juegos</x:v>
      </x:c>
      <x:c r="H103" s="18" t="str">
        <x:v>https://tools.usefulverse.com/tools/racing-game/</x:v>
      </x:c>
      <x:c r="I103" s="18" t="str">
        <x:v>Conducir circuitos originales con vueltas, cronómetro y fantasma local.</x:v>
      </x:c>
      <x:c r="J103" s="18" t="str">
        <x:v>car-parking-simulator resuelve maniobras lentas; aquí existe carrera y trazada.</x:v>
      </x:c>
      <x:c r="K103" s="18" t="str">
        <x:v>Un solo juego para tipos de vehículo; no usar nombres de franquicias.</x:v>
      </x:c>
      <x:c r="L103" s="18" t="str">
        <x:v>Cálculo/editor/juego local propuesto</x:v>
      </x:c>
      <x:c r="M103" s="18" t="str">
        <x:v>Revisar motor, recursos y dependencias</x:v>
      </x:c>
      <x:c r="N103" s="18" t="str">
        <x:v>Interfaz en 37 idiomas; idioma no elige país ni reglas. Reglas y variante elegibles; ayudas claras y arte propio.</x:v>
      </x:c>
      <x:c r="O103" s="18" t="str">
        <x:v>global-candidates.json</x:v>
      </x:c>
      <x:c r="P103" s="18" t="str">
        <x:v>2025-10 / 2026-09</x:v>
      </x:c>
      <x:c r="Q103" s="18" t="str">
        <x:v>M</x:v>
      </x:c>
      <x:c r="R103" s="18" t="str">
        <x:v>UV0787</x:v>
      </x:c>
      <x:c r="S103" s="18" t="str">
        <x:v>Pendiente de fuente específica antes de implementar</x:v>
      </x:c>
    </x:row>
    <x:row r="104" ht="64" customHeight="1">
      <x:c r="A104" s="18" t="n">
        <x:v>88</x:v>
      </x:c>
      <x:c r="B104" s="18" t="str">
        <x:v>Scopa</x:v>
      </x:c>
      <x:c r="C104" s="18" t="str">
        <x:v>scopa</x:v>
      </x:c>
      <x:c r="D104" s="19" t="n">
        <x:v>165000</x:v>
      </x:c>
      <x:c r="E104" s="18" t="str">
        <x:v>Inferior a 240.000</x:v>
      </x:c>
      <x:c r="F104" s="18" t="str">
        <x:v>Reserva: NO cumple demanda autorizada</x:v>
      </x:c>
      <x:c r="G104" s="18" t="str">
        <x:v>Juegos</x:v>
      </x:c>
      <x:c r="H104" s="18" t="str">
        <x:v>https://tools.usefulverse.com/tools/scopa/</x:v>
      </x:c>
      <x:c r="I104" s="18" t="str">
        <x:v>Capturar cartas de la mesa por sumas, contar escobas y primiera.</x:v>
      </x:c>
      <x:c r="J104" s="18" t="str">
        <x:v>No es un juego de bazas ni canasta; captura por combinaciones.</x:v>
      </x:c>
      <x:c r="K104" s="18" t="str">
        <x:v>Baraja regional o francesa seleccionable y explicada.</x:v>
      </x:c>
      <x:c r="L104" s="18" t="str">
        <x:v>Cálculo/editor/juego local propuesto</x:v>
      </x:c>
      <x:c r="M104" s="18" t="str">
        <x:v>Revisar motor, recursos y dependencias</x:v>
      </x:c>
      <x:c r="N104" s="18" t="str">
        <x:v>Interfaz en 37 idiomas; idioma no elige país ni reglas. Reglas y variante elegibles; ayudas claras y arte propio.</x:v>
      </x:c>
      <x:c r="O104" s="18" t="str">
        <x:v>global-candidates.json</x:v>
      </x:c>
      <x:c r="P104" s="18" t="str">
        <x:v>2025-10 / 2026-09</x:v>
      </x:c>
      <x:c r="Q104" s="18" t="str">
        <x:v>M</x:v>
      </x:c>
      <x:c r="R104" s="18" t="str">
        <x:v>UV0788</x:v>
      </x:c>
      <x:c r="S104" s="18" t="str">
        <x:v>Pendiente de fuente específica antes de implementar</x:v>
      </x:c>
    </x:row>
    <x:row r="105" ht="64" customHeight="1">
      <x:c r="A105" s="18" t="n">
        <x:v>89</x:v>
      </x:c>
      <x:c r="B105" s="18" t="str">
        <x:v>Belote</x:v>
      </x:c>
      <x:c r="C105" s="18" t="str">
        <x:v>belote</x:v>
      </x:c>
      <x:c r="D105" s="19" t="n">
        <x:v>135000</x:v>
      </x:c>
      <x:c r="E105" s="18" t="str">
        <x:v>Inferior a 240.000</x:v>
      </x:c>
      <x:c r="F105" s="18" t="str">
        <x:v>Reserva: NO cumple demanda autorizada</x:v>
      </x:c>
      <x:c r="G105" s="18" t="str">
        <x:v>Juegos</x:v>
      </x:c>
      <x:c r="H105" s="18" t="str">
        <x:v>https://tools.usefulverse.com/tools/belote/</x:v>
      </x:c>
      <x:c r="I105" s="18" t="str">
        <x:v>Jugar en parejas contra bots con triunfo, anuncios y puntuación.</x:v>
      </x:c>
      <x:c r="J105" s="18" t="str">
        <x:v>bridge-game y skat-card-game tienen subasta y puntuaciones diferentes.</x:v>
      </x:c>
      <x:c r="K105" s="18" t="str">
        <x:v>Elegir variante y reglas locales sin inferirlas del idioma.</x:v>
      </x:c>
      <x:c r="L105" s="18" t="str">
        <x:v>Cálculo/editor/juego local propuesto</x:v>
      </x:c>
      <x:c r="M105" s="18" t="str">
        <x:v>Revisar motor, recursos y dependencias</x:v>
      </x:c>
      <x:c r="N105" s="18" t="str">
        <x:v>Interfaz en 37 idiomas; idioma no elige país ni reglas. Reglas y variante elegibles; ayudas claras y arte propio.</x:v>
      </x:c>
      <x:c r="O105" s="18" t="str">
        <x:v>global-initial-screen.json</x:v>
      </x:c>
      <x:c r="P105" s="18" t="str">
        <x:v>2025-10 / 2026-09</x:v>
      </x:c>
      <x:c r="Q105" s="18" t="str">
        <x:v>M</x:v>
      </x:c>
      <x:c r="R105" s="18" t="str">
        <x:v>UV0789</x:v>
      </x:c>
      <x:c r="S105" s="18" t="str">
        <x:v>Pendiente de fuente específica antes de implementar</x:v>
      </x:c>
    </x:row>
    <x:row r="106" ht="64" customHeight="1">
      <x:c r="A106" s="18" t="n">
        <x:v>90</x:v>
      </x:c>
      <x:c r="B106" s="18" t="str">
        <x:v>Validador de direcciones de correo</x:v>
      </x:c>
      <x:c r="C106" s="18" t="str">
        <x:v>email checker</x:v>
      </x:c>
      <x:c r="D106" s="19" t="n">
        <x:v>135000</x:v>
      </x:c>
      <x:c r="E106" s="18" t="str">
        <x:v>Inferior a 240.000</x:v>
      </x:c>
      <x:c r="F106" s="18" t="str">
        <x:v>Reserva: NO cumple demanda autorizada</x:v>
      </x:c>
      <x:c r="G106" s="18" t="str">
        <x:v>Desarrollo</x:v>
      </x:c>
      <x:c r="H106" s="18" t="str">
        <x:v>https://tools.usefulverse.com/tools/email-address-validator/</x:v>
      </x:c>
      <x:c r="I106" s="18" t="str">
        <x:v>Validar sintaxis internacional, dominio y MX de una lista, separando lo comprobado de lo desconocido.</x:v>
      </x:c>
      <x:c r="J106" s="18" t="str">
        <x:v>No existe validación de correo; test-data-generator inventa registros.</x:v>
      </x:c>
      <x:c r="K106" s="18" t="str">
        <x:v>No prometer existencia del buzón sin SMTP; consultas DNS permitidas.</x:v>
      </x:c>
      <x:c r="L106" s="18" t="str">
        <x:v>Servicio/datos externos: condiciones y cuotas pendientes</x:v>
      </x:c>
      <x:c r="M106" s="18" t="str">
        <x:v>Datos: revisar fuente, licencia y cadencia</x:v>
      </x:c>
      <x:c r="N106" s="18" t="str">
        <x:v>Interfaz en 37 idiomas; idioma no elige país ni reglas. Formatos Intl, RTL y datos/lexicón de idioma con cobertura explícita.</x:v>
      </x:c>
      <x:c r="O106" s="18" t="str">
        <x:v>global-candidates.json</x:v>
      </x:c>
      <x:c r="P106" s="18" t="str">
        <x:v>2025-10 / 2026-09</x:v>
      </x:c>
      <x:c r="Q106" s="18" t="str">
        <x:v>L</x:v>
      </x:c>
      <x:c r="R106" s="18" t="str">
        <x:v>UV0790</x:v>
      </x:c>
      <x:c r="S106" s="18" t="str">
        <x:v>Pendiente de fuente específica antes de implementar</x:v>
      </x:c>
    </x:row>
    <x:row r="107" ht="64" customHeight="1">
      <x:c r="A107" s="18" t="n">
        <x:v>91</x:v>
      </x:c>
      <x:c r="B107" s="18" t="str">
        <x:v>Juego de pesca</x:v>
      </x:c>
      <x:c r="C107" s="18" t="str">
        <x:v>fishing game</x:v>
      </x:c>
      <x:c r="D107" s="19" t="n">
        <x:v>135000</x:v>
      </x:c>
      <x:c r="E107" s="18" t="str">
        <x:v>Inferior a 240.000</x:v>
      </x:c>
      <x:c r="F107" s="18" t="str">
        <x:v>Reserva: NO cumple demanda autorizada</x:v>
      </x:c>
      <x:c r="G107" s="18" t="str">
        <x:v>Juegos</x:v>
      </x:c>
      <x:c r="H107" s="18" t="str">
        <x:v>https://tools.usefulverse.com/tools/fishing-game/</x:v>
      </x:c>
      <x:c r="I107" s="18" t="str">
        <x:v>Elegir señuelo, lanzar y controlar tensión para capturar peces virtuales.</x:v>
      </x:c>
      <x:c r="J107" s="18" t="str">
        <x:v>No hay simulación de pesca; no ofrecer mapas o permisos reales.</x:v>
      </x:c>
      <x:c r="K107" s="18" t="str">
        <x:v>Especies ilustradas propias y comportamiento local.</x:v>
      </x:c>
      <x:c r="L107" s="18" t="str">
        <x:v>Cálculo/editor/juego local propuesto</x:v>
      </x:c>
      <x:c r="M107" s="18" t="str">
        <x:v>Revisar motor, recursos y dependencias</x:v>
      </x:c>
      <x:c r="N107" s="18" t="str">
        <x:v>Interfaz en 37 idiomas; idioma no elige país ni reglas. Reglas y variante elegibles; ayudas claras y arte propio.</x:v>
      </x:c>
      <x:c r="O107" s="18" t="str">
        <x:v>global-candidates.json</x:v>
      </x:c>
      <x:c r="P107" s="18" t="str">
        <x:v>2025-10 / 2026-09</x:v>
      </x:c>
      <x:c r="Q107" s="18" t="str">
        <x:v>M</x:v>
      </x:c>
      <x:c r="R107" s="18" t="str">
        <x:v>UV0791</x:v>
      </x:c>
      <x:c r="S107" s="18" t="str">
        <x:v>Pendiente de fuente específica antes de implementar</x:v>
      </x:c>
    </x:row>
    <x:row r="108" ht="64" customHeight="1">
      <x:c r="A108" s="18" t="n">
        <x:v>92</x:v>
      </x:c>
      <x:c r="B108" s="18" t="str">
        <x:v>Borrador de objetos de fotos</x:v>
      </x:c>
      <x:c r="C108" s="18" t="str">
        <x:v>remove object from photo</x:v>
      </x:c>
      <x:c r="D108" s="19" t="n">
        <x:v>135000</x:v>
      </x:c>
      <x:c r="E108" s="18" t="str">
        <x:v>Inferior a 240.000</x:v>
      </x:c>
      <x:c r="F108" s="18" t="str">
        <x:v>Reserva: NO cumple demanda autorizada</x:v>
      </x:c>
      <x:c r="G108" s="18" t="str">
        <x:v>Creatividad</x:v>
      </x:c>
      <x:c r="H108" s="18" t="str">
        <x:v>https://tools.usefulverse.com/tools/object-remover/</x:v>
      </x:c>
      <x:c r="I108" s="18" t="str">
        <x:v>Marcar un objeto y reconstruir el fondo de la zona seleccionada.</x:v>
      </x:c>
      <x:c r="J108" s="18" t="str">
        <x:v>image-region-redactor oculta información; no reconstruye el fondo.</x:v>
      </x:c>
      <x:c r="K108" s="18" t="str">
        <x:v>Inpainting local con licencia; no comercializar como recuperación de contenido oculto.</x:v>
      </x:c>
      <x:c r="L108" s="18" t="str">
        <x:v>Modelo local: licencia y rendimiento pendientes</x:v>
      </x:c>
      <x:c r="M108" s="18" t="str">
        <x:v>Revisar motor, recursos y dependencias</x:v>
      </x:c>
      <x:c r="N108" s="18" t="str">
        <x:v>Interfaz en 37 idiomas; idioma no elige país ni reglas. Formatos Intl, RTL y datos/lexicón de idioma con cobertura explícita.</x:v>
      </x:c>
      <x:c r="O108" s="18" t="str">
        <x:v>global-candidates.json</x:v>
      </x:c>
      <x:c r="P108" s="18" t="str">
        <x:v>2025-10 / 2026-09</x:v>
      </x:c>
      <x:c r="Q108" s="18" t="str">
        <x:v>L</x:v>
      </x:c>
      <x:c r="R108" s="18" t="str">
        <x:v>UV0792</x:v>
      </x:c>
      <x:c r="S108" s="18" t="str">
        <x:v>https://github.com/huggingface/transformers.js</x:v>
      </x:c>
    </x:row>
    <x:row r="109" ht="64" customHeight="1">
      <x:c r="A109" s="18" t="n">
        <x:v>93</x:v>
      </x:c>
      <x:c r="B109" s="18" t="str">
        <x:v>Visor de fotos de 360 grados</x:v>
      </x:c>
      <x:c r="C109" s="18" t="str">
        <x:v>panorama viewer</x:v>
      </x:c>
      <x:c r="D109" s="19" t="n">
        <x:v>135000</x:v>
      </x:c>
      <x:c r="E109" s="18" t="str">
        <x:v>Inferior a 240.000</x:v>
      </x:c>
      <x:c r="F109" s="18" t="str">
        <x:v>Reserva: NO cumple demanda autorizada</x:v>
      </x:c>
      <x:c r="G109" s="18" t="str">
        <x:v>Creatividad</x:v>
      </x:c>
      <x:c r="H109" s="18" t="str">
        <x:v>https://tools.usefulverse.com/tools/photosphere-viewer/</x:v>
      </x:c>
      <x:c r="I109" s="18" t="str">
        <x:v>Abrir una foto equirectangular y recorrerla con controles inmersivos.</x:v>
      </x:c>
      <x:c r="J109" s="18" t="str">
        <x:v>3d-model-viewer abre mallas; aquí se proyecta fotografía esférica.</x:v>
      </x:c>
      <x:c r="K109" s="18" t="str">
        <x:v>WebGL local y controles sin giroscopio obligatorios.</x:v>
      </x:c>
      <x:c r="L109" s="18" t="str">
        <x:v>Cálculo/editor/juego local propuesto</x:v>
      </x:c>
      <x:c r="M109" s="18" t="str">
        <x:v>Revisar motor, recursos y dependencias</x:v>
      </x:c>
      <x:c r="N109" s="18" t="str">
        <x:v>Interfaz en 37 idiomas; idioma no elige país ni reglas. Formatos Intl, RTL y datos/lexicón de idioma con cobertura explícita.</x:v>
      </x:c>
      <x:c r="O109" s="18" t="str">
        <x:v>global-candidates.json</x:v>
      </x:c>
      <x:c r="P109" s="18" t="str">
        <x:v>2025-10 / 2026-09</x:v>
      </x:c>
      <x:c r="Q109" s="18" t="str">
        <x:v>M</x:v>
      </x:c>
      <x:c r="R109" s="18" t="str">
        <x:v>UV0793</x:v>
      </x:c>
      <x:c r="S109" s="18" t="str">
        <x:v>Pendiente de fuente específica antes de implementar</x:v>
      </x:c>
    </x:row>
    <x:row r="110" ht="64" customHeight="1">
      <x:c r="A110" s="18" t="n">
        <x:v>94</x:v>
      </x:c>
      <x:c r="B110" s="18" t="str">
        <x:v>Identificador de plantas</x:v>
      </x:c>
      <x:c r="C110" s="18" t="str">
        <x:v>plant identifier</x:v>
      </x:c>
      <x:c r="D110" s="19" t="n">
        <x:v>135000</x:v>
      </x:c>
      <x:c r="E110" s="18" t="str">
        <x:v>Inferior a 240.000</x:v>
      </x:c>
      <x:c r="F110" s="18" t="str">
        <x:v>Reserva: NO cumple demanda autorizada</x:v>
      </x:c>
      <x:c r="G110" s="18" t="str">
        <x:v>Vida</x:v>
      </x:c>
      <x:c r="H110" s="18" t="str">
        <x:v>https://tools.usefulverse.com/tools/plant-identifier/</x:v>
      </x:c>
      <x:c r="I110" s="18" t="str">
        <x:v>Comparar una foto con especies de un conjunto autorizado y mostrar candidatos.</x:v>
      </x:c>
      <x:c r="J110" s="18" t="str">
        <x:v>image-to-text no clasifica especies; no existe reconocimiento botánico.</x:v>
      </x:c>
      <x:c r="K110" s="18" t="str">
        <x:v>Modelo y conjunto con licencia; no usar para decidir comestibilidad o toxicidad.</x:v>
      </x:c>
      <x:c r="L110" s="18" t="str">
        <x:v>Servicio/datos externos: condiciones y cuotas pendientes</x:v>
      </x:c>
      <x:c r="M110" s="18" t="str">
        <x:v>Datos: revisar fuente, licencia y cadencia</x:v>
      </x:c>
      <x:c r="N110" s="18" t="str">
        <x:v>Interfaz en 37 idiomas; idioma no elige país ni reglas. Formatos Intl, RTL y datos/lexicón de idioma con cobertura explícita.</x:v>
      </x:c>
      <x:c r="O110" s="18" t="str">
        <x:v>global-candidates.json</x:v>
      </x:c>
      <x:c r="P110" s="18" t="str">
        <x:v>2025-10 / 2026-09</x:v>
      </x:c>
      <x:c r="Q110" s="18" t="str">
        <x:v>L</x:v>
      </x:c>
      <x:c r="R110" s="18" t="str">
        <x:v>UV0794</x:v>
      </x:c>
      <x:c r="S110" s="18" t="str">
        <x:v>Pendiente de fuente específica antes de implementar</x:v>
      </x:c>
    </x:row>
    <x:row r="111" ht="64" customHeight="1">
      <x:c r="A111" s="18" t="n">
        <x:v>95</x:v>
      </x:c>
      <x:c r="B111" s="18" t="str">
        <x:v>Creador de pegatinas</x:v>
      </x:c>
      <x:c r="C111" s="18" t="str">
        <x:v>sticker maker</x:v>
      </x:c>
      <x:c r="D111" s="19" t="n">
        <x:v>135000</x:v>
      </x:c>
      <x:c r="E111" s="18" t="str">
        <x:v>Inferior a 240.000</x:v>
      </x:c>
      <x:c r="F111" s="18" t="str">
        <x:v>Reserva: NO cumple demanda autorizada</x:v>
      </x:c>
      <x:c r="G111" s="18" t="str">
        <x:v>Creatividad</x:v>
      </x:c>
      <x:c r="H111" s="18" t="str">
        <x:v>https://tools.usefulverse.com/tools/sticker-pack-maker/</x:v>
      </x:c>
      <x:c r="I111" s="18" t="str">
        <x:v>Crear contornos de corte y agrupar diseños propios en hojas o paquetes exportables.</x:v>
      </x:c>
      <x:c r="J111" s="18" t="str">
        <x:v>image-cropper no produce contornos ni paquetes; comprobar solapamiento con label maker.</x:v>
      </x:c>
      <x:c r="K111" s="18" t="str">
        <x:v>No prometer instalación en WhatsApp desde el navegador si no existe mecanismo compatible.</x:v>
      </x:c>
      <x:c r="L111" s="18" t="str">
        <x:v>Cálculo/editor/juego local propuesto</x:v>
      </x:c>
      <x:c r="M111" s="18" t="str">
        <x:v>Revisar motor, recursos y dependencias</x:v>
      </x:c>
      <x:c r="N111" s="18" t="str">
        <x:v>Interfaz en 37 idiomas; idioma no elige país ni reglas. Formatos Intl, RTL y datos/lexicón de idioma con cobertura explícita.</x:v>
      </x:c>
      <x:c r="O111" s="18" t="str">
        <x:v>global-extras.json</x:v>
      </x:c>
      <x:c r="P111" s="18" t="str">
        <x:v>2025-10 / 2026-09</x:v>
      </x:c>
      <x:c r="Q111" s="18" t="str">
        <x:v>M</x:v>
      </x:c>
      <x:c r="R111" s="18" t="str">
        <x:v>UV0795</x:v>
      </x:c>
      <x:c r="S111" s="18" t="str">
        <x:v>Pendiente de fuente específica antes de implementar</x:v>
      </x:c>
    </x:row>
    <x:row r="112" ht="64" customHeight="1">
      <x:c r="A112" s="18" t="n">
        <x:v>96</x:v>
      </x:c>
      <x:c r="B112" s="18" t="str">
        <x:v>Nube de palabras</x:v>
      </x:c>
      <x:c r="C112" s="18" t="str">
        <x:v>word cloud</x:v>
      </x:c>
      <x:c r="D112" s="19" t="n">
        <x:v>135000</x:v>
      </x:c>
      <x:c r="E112" s="18" t="str">
        <x:v>Inferior a 240.000</x:v>
      </x:c>
      <x:c r="F112" s="18" t="str">
        <x:v>Reserva: NO cumple demanda autorizada</x:v>
      </x:c>
      <x:c r="G112" s="18" t="str">
        <x:v>Creatividad</x:v>
      </x:c>
      <x:c r="H112" s="18" t="str">
        <x:v>https://tools.usefulverse.com/tools/word-cloud-generator/</x:v>
      </x:c>
      <x:c r="I112" s="18" t="str">
        <x:v>Agrupar frecuencias con exclusiones por idioma y componer una nube editable exportable.</x:v>
      </x:c>
      <x:c r="J112" s="18" t="str">
        <x:v>word-frequency-counter cuenta términos; no resuelve disposición tipográfica espacial.</x:v>
      </x:c>
      <x:c r="K112" s="18" t="str">
        <x:v>Gate de integración si basta una visualización del contador; fuentes con licencia.</x:v>
      </x:c>
      <x:c r="L112" s="18" t="str">
        <x:v>Cálculo/editor/juego local propuesto</x:v>
      </x:c>
      <x:c r="M112" s="18" t="str">
        <x:v>Revisar motor, recursos y dependencias</x:v>
      </x:c>
      <x:c r="N112" s="18" t="str">
        <x:v>Interfaz en 37 idiomas; idioma no elige país ni reglas. Formatos Intl, RTL y datos/lexicón de idioma con cobertura explícita.</x:v>
      </x:c>
      <x:c r="O112" s="18" t="str">
        <x:v>global-extras.json</x:v>
      </x:c>
      <x:c r="P112" s="18" t="str">
        <x:v>2025-10 / 2026-09</x:v>
      </x:c>
      <x:c r="Q112" s="18" t="str">
        <x:v>M</x:v>
      </x:c>
      <x:c r="R112" s="18" t="str">
        <x:v>UV0796</x:v>
      </x:c>
      <x:c r="S112" s="18" t="str">
        <x:v>Pendiente de fuente específica antes de implementar</x:v>
      </x:c>
    </x:row>
    <x:row r="113" ht="64" customHeight="1">
      <x:c r="A113" s="18" t="n">
        <x:v>97</x:v>
      </x:c>
      <x:c r="B113" s="18" t="str">
        <x:v>Décimo tercero de Brasil</x:v>
      </x:c>
      <x:c r="C113" s="18" t="str">
        <x:v>calculadora décimo terceiro</x:v>
      </x:c>
      <x:c r="D113" s="19" t="n">
        <x:v>110000</x:v>
      </x:c>
      <x:c r="E113" s="18" t="str">
        <x:v>Inferior a 240.000</x:v>
      </x:c>
      <x:c r="F113" s="18" t="str">
        <x:v>Reserva: NO cumple demanda autorizada</x:v>
      </x:c>
      <x:c r="G113" s="18" t="str">
        <x:v>Finanzas</x:v>
      </x:c>
      <x:c r="H113" s="18" t="str">
        <x:v>https://tools.usefulverse.com/tools/brazil-thirteenth-salary/</x:v>
      </x:c>
      <x:c r="I113" s="18" t="str">
        <x:v>Calcular devengo, cuotas y deducciones del décimo tercero brasileño.</x:v>
      </x:c>
      <x:c r="J113" s="18" t="str">
        <x:v>No existe devengo y retención específica del décimo tercero.</x:v>
      </x:c>
      <x:c r="K113" s="18" t="str">
        <x:v>Meses elegibles y tablas oficiales de contribución e impuesto.</x:v>
      </x:c>
      <x:c r="L113" s="18" t="str">
        <x:v>Cálculo/editor/juego local propuesto</x:v>
      </x:c>
      <x:c r="M113" s="18" t="str">
        <x:v>Alta: normativa y tablas por ejercicio</x:v>
      </x:c>
      <x:c r="N113" s="18" t="str">
        <x:v>Interfaz en 37 idiomas; idioma no elige país ni reglas. Jurisdicción y año visibles; fuentes oficiales del país.</x:v>
      </x:c>
      <x:c r="O113" s="18" t="str">
        <x:v>global-candidates.json</x:v>
      </x:c>
      <x:c r="P113" s="18" t="str">
        <x:v>2025-10 / 2026-09</x:v>
      </x:c>
      <x:c r="Q113" s="18" t="str">
        <x:v>L</x:v>
      </x:c>
      <x:c r="R113" s="18" t="str">
        <x:v>UV0797</x:v>
      </x:c>
      <x:c r="S113" s="18" t="str">
        <x:v>https://www.gov.br/trabalho-e-emprego/pt-br/acesso-a-informacao/acoes-e-programas/programas-projetos-acoes-obras-e-atividades/proteja/duvidas-frequentes</x:v>
      </x:c>
    </x:row>
    <x:row r="114" ht="64" customHeight="1">
      <x:c r="A114" s="18" t="n">
        <x:v>98</x:v>
      </x:c>
      <x:c r="B114" s="18" t="str">
        <x:v>Marcador de dardos</x:v>
      </x:c>
      <x:c r="C114" s="18" t="str">
        <x:v>darts scorer</x:v>
      </x:c>
      <x:c r="D114" s="19" t="n">
        <x:v>110000</x:v>
      </x:c>
      <x:c r="E114" s="18" t="str">
        <x:v>Inferior a 240.000</x:v>
      </x:c>
      <x:c r="F114" s="18" t="str">
        <x:v>Reserva: NO cumple demanda autorizada</x:v>
      </x:c>
      <x:c r="G114" s="18" t="str">
        <x:v>Juegos</x:v>
      </x:c>
      <x:c r="H114" s="18" t="str">
        <x:v>https://tools.usefulverse.com/tools/darts-scoreboard/</x:v>
      </x:c>
      <x:c r="I114" s="18" t="str">
        <x:v>Anotar lanzamientos reales, gestionar 301/501 y sugerir cierres legales.</x:v>
      </x:c>
      <x:c r="J114" s="18" t="str">
        <x:v>No es un juego de azar ni random-number-generator; registra una partida física.</x:v>
      </x:c>
      <x:c r="K114" s="18" t="str">
        <x:v>Una URL con variantes de puntuación; sin resultados deportivos en directo.</x:v>
      </x:c>
      <x:c r="L114" s="18" t="str">
        <x:v>Cálculo/editor/juego local propuesto</x:v>
      </x:c>
      <x:c r="M114" s="18" t="str">
        <x:v>Revisar motor, recursos y dependencias</x:v>
      </x:c>
      <x:c r="N114" s="18" t="str">
        <x:v>Interfaz en 37 idiomas; idioma no elige país ni reglas. Reglas y variante elegibles; ayudas claras y arte propio.</x:v>
      </x:c>
      <x:c r="O114" s="18" t="str">
        <x:v>global-candidates.json</x:v>
      </x:c>
      <x:c r="P114" s="18" t="str">
        <x:v>2025-10 / 2026-09</x:v>
      </x:c>
      <x:c r="Q114" s="18" t="str">
        <x:v>M</x:v>
      </x:c>
      <x:c r="R114" s="18" t="str">
        <x:v>UV0798</x:v>
      </x:c>
      <x:c r="S114" s="18" t="str">
        <x:v>Pendiente de fuente específica antes de implementar</x:v>
      </x:c>
    </x:row>
    <x:row r="115" ht="64" customHeight="1">
      <x:c r="A115" s="18" t="n">
        <x:v>99</x:v>
      </x:c>
      <x:c r="B115" s="18" t="str">
        <x:v>Lines of Action</x:v>
      </x:c>
      <x:c r="C115" s="18" t="str">
        <x:v>lines of action</x:v>
      </x:c>
      <x:c r="D115" s="19" t="n">
        <x:v>110000</x:v>
      </x:c>
      <x:c r="E115" s="18" t="str">
        <x:v>Inferior a 240.000</x:v>
      </x:c>
      <x:c r="F115" s="18" t="str">
        <x:v>Reserva: NO cumple demanda autorizada</x:v>
      </x:c>
      <x:c r="G115" s="18" t="str">
        <x:v>Juegos</x:v>
      </x:c>
      <x:c r="H115" s="18" t="str">
        <x:v>https://tools.usefulverse.com/tools/lines-of-action/</x:v>
      </x:c>
      <x:c r="I115" s="18" t="str">
        <x:v>Mover según número de fichas en línea y conectar todas las propias.</x:v>
      </x:c>
      <x:c r="J115" s="18" t="str">
        <x:v>reversi voltea fichas; aquí se mueven y conectan grupos.</x:v>
      </x:c>
      <x:c r="K115" s="18" t="str">
        <x:v>Bot local y reglas explicadas.</x:v>
      </x:c>
      <x:c r="L115" s="18" t="str">
        <x:v>Cálculo/editor/juego local propuesto</x:v>
      </x:c>
      <x:c r="M115" s="18" t="str">
        <x:v>Revisar motor, recursos y dependencias</x:v>
      </x:c>
      <x:c r="N115" s="18" t="str">
        <x:v>Interfaz en 37 idiomas; idioma no elige país ni reglas. Reglas y variante elegibles; ayudas claras y arte propio.</x:v>
      </x:c>
      <x:c r="O115" s="18" t="str">
        <x:v>global-candidates.json</x:v>
      </x:c>
      <x:c r="P115" s="18" t="str">
        <x:v>2025-10 / 2026-09</x:v>
      </x:c>
      <x:c r="Q115" s="18" t="str">
        <x:v>M</x:v>
      </x:c>
      <x:c r="R115" s="18" t="str">
        <x:v>UV0799</x:v>
      </x:c>
      <x:c r="S115" s="18" t="str">
        <x:v>Pendiente de fuente específica antes de implementar</x:v>
      </x:c>
    </x:row>
    <x:row r="116" ht="64" customHeight="1">
      <x:c r="A116" s="18" t="n">
        <x:v>100</x:v>
      </x:c>
      <x:c r="B116" s="18" t="str">
        <x:v>Simulador Monte Carlo</x:v>
      </x:c>
      <x:c r="C116" s="18" t="str">
        <x:v>monte carlo simulation</x:v>
      </x:c>
      <x:c r="D116" s="19" t="n">
        <x:v>110000</x:v>
      </x:c>
      <x:c r="E116" s="18" t="str">
        <x:v>Inferior a 240.000</x:v>
      </x:c>
      <x:c r="F116" s="18" t="str">
        <x:v>Reserva: NO cumple demanda autorizada</x:v>
      </x:c>
      <x:c r="G116" s="18" t="str">
        <x:v>Ciencia</x:v>
      </x:c>
      <x:c r="H116" s="18" t="str">
        <x:v>https://tools.usefulverse.com/tools/monte-carlo-simulator/</x:v>
      </x:c>
      <x:c r="I116" s="18" t="str">
        <x:v>Definir variables y distribuciones, simular escenarios y examinar percentiles.</x:v>
      </x:c>
      <x:c r="J116" s="18" t="str">
        <x:v>probability-distribution-calculator evalúa una distribución aislada; no modelos de escenarios.</x:v>
      </x:c>
      <x:c r="K116" s="18" t="str">
        <x:v>Semilla reproducible, ejecución acotada y supuestos visibles.</x:v>
      </x:c>
      <x:c r="L116" s="18" t="str">
        <x:v>Cálculo/editor/juego local propuesto</x:v>
      </x:c>
      <x:c r="M116" s="18" t="str">
        <x:v>Revisar motor, recursos y dependencias</x:v>
      </x:c>
      <x:c r="N116" s="18" t="str">
        <x:v>Interfaz en 37 idiomas; idioma no elige país ni reglas. Formatos Intl, RTL y datos/lexicón de idioma con cobertura explícita.</x:v>
      </x:c>
      <x:c r="O116" s="18" t="str">
        <x:v>global-candidates.json</x:v>
      </x:c>
      <x:c r="P116" s="18" t="str">
        <x:v>2025-10 / 2026-09</x:v>
      </x:c>
      <x:c r="Q116" s="18" t="str">
        <x:v>M</x:v>
      </x:c>
      <x:c r="R116" s="18" t="str">
        <x:v>UV0800</x:v>
      </x:c>
      <x:c r="S116" s="18" t="str">
        <x:v>Pendiente de fuente específica antes de implementar</x:v>
      </x:c>
    </x:row>
    <x:row r="117" ht="64" customHeight="1">
      <x:c r="A117" s="18" t="n">
        <x:v>101</x:v>
      </x:c>
      <x:c r="B117" s="18" t="str">
        <x:v>Texto con aspecto manuscrito</x:v>
      </x:c>
      <x:c r="C117" s="18" t="str">
        <x:v>text to handwriting</x:v>
      </x:c>
      <x:c r="D117" s="19" t="n">
        <x:v>110000</x:v>
      </x:c>
      <x:c r="E117" s="18" t="str">
        <x:v>Inferior a 240.000</x:v>
      </x:c>
      <x:c r="F117" s="18" t="str">
        <x:v>Reserva: NO cumple demanda autorizada</x:v>
      </x:c>
      <x:c r="G117" s="18" t="str">
        <x:v>Creatividad</x:v>
      </x:c>
      <x:c r="H117" s="18" t="str">
        <x:v>https://tools.usefulverse.com/tools/text-to-handwriting/</x:v>
      </x:c>
      <x:c r="I117" s="18" t="str">
        <x:v>Componer texto propio con variaciones de glifos en páginas y exportar imagen o PDF.</x:v>
      </x:c>
      <x:c r="J117" s="18" t="str">
        <x:v>font-tester previsualiza; aquí se genera un documento con variación y pautado.</x:v>
      </x:c>
      <x:c r="K117" s="18" t="str">
        <x:v>Fuentes con permiso, sin falsificar firmas ni atribuir escritura a una persona.</x:v>
      </x:c>
      <x:c r="L117" s="18" t="str">
        <x:v>Cálculo/editor/juego local propuesto</x:v>
      </x:c>
      <x:c r="M117" s="18" t="str">
        <x:v>Revisar motor, recursos y dependencias</x:v>
      </x:c>
      <x:c r="N117" s="18" t="str">
        <x:v>Interfaz en 37 idiomas; idioma no elige país ni reglas. Formatos Intl, RTL y datos/lexicón de idioma con cobertura explícita.</x:v>
      </x:c>
      <x:c r="O117" s="18" t="str">
        <x:v>global-initial-screen.json</x:v>
      </x:c>
      <x:c r="P117" s="18" t="str">
        <x:v>2025-10 / 2026-09</x:v>
      </x:c>
      <x:c r="Q117" s="18" t="str">
        <x:v>M</x:v>
      </x:c>
      <x:c r="R117" s="18" t="str">
        <x:v>UV0801</x:v>
      </x:c>
      <x:c r="S117" s="18" t="str">
        <x:v>Pendiente de fuente específica antes de implementar</x:v>
      </x:c>
    </x:row>
    <x:row r="118" ht="64" customHeight="1">
      <x:c r="A118" s="18" t="n">
        <x:v>102</x:v>
      </x:c>
      <x:c r="B118" s="18" t="str">
        <x:v>Mareas</x:v>
      </x:c>
      <x:c r="C118" s="18" t="str">
        <x:v>tide times</x:v>
      </x:c>
      <x:c r="D118" s="19" t="n">
        <x:v>110000</x:v>
      </x:c>
      <x:c r="E118" s="18" t="str">
        <x:v>Inferior a 240.000</x:v>
      </x:c>
      <x:c r="F118" s="18" t="str">
        <x:v>Reserva: NO cumple demanda autorizada</x:v>
      </x:c>
      <x:c r="G118" s="18" t="str">
        <x:v>Vida</x:v>
      </x:c>
      <x:c r="H118" s="18" t="str">
        <x:v>https://tools.usefulverse.com/tools/tide-times/</x:v>
      </x:c>
      <x:c r="I118" s="18" t="str">
        <x:v>Consultar predicciones oficiales por estación y contrastar referencia vertical y zona horaria.</x:v>
      </x:c>
      <x:c r="J118" s="18" t="str">
        <x:v>moon-phase-calculator no calcula nivel del mar ni mareas locales.</x:v>
      </x:c>
      <x:c r="K118" s="18" t="str">
        <x:v>Estaciones oficiales con permiso, cobertura por país y límites para navegación.</x:v>
      </x:c>
      <x:c r="L118" s="18" t="str">
        <x:v>Servicio/datos externos: condiciones y cuotas pendientes</x:v>
      </x:c>
      <x:c r="M118" s="18" t="str">
        <x:v>Datos: revisar fuente, licencia y cadencia</x:v>
      </x:c>
      <x:c r="N118" s="18" t="str">
        <x:v>Interfaz en 37 idiomas; idioma no elige país ni reglas. Formatos Intl, RTL y datos/lexicón de idioma con cobertura explícita.</x:v>
      </x:c>
      <x:c r="O118" s="18" t="str">
        <x:v>global-extras.json</x:v>
      </x:c>
      <x:c r="P118" s="18" t="str">
        <x:v>2025-10 / 2026-09</x:v>
      </x:c>
      <x:c r="Q118" s="18" t="str">
        <x:v>L</x:v>
      </x:c>
      <x:c r="R118" s="18" t="str">
        <x:v>UV0802</x:v>
      </x:c>
      <x:c r="S118" s="18" t="str">
        <x:v>Pendiente de fuente específica antes de implementar</x:v>
      </x:c>
    </x:row>
    <x:row r="119" ht="64" customHeight="1">
      <x:c r="A119" s="18" t="n">
        <x:v>103</x:v>
      </x:c>
      <x:c r="B119" s="18" t="str">
        <x:v>Calendario de vacunación</x:v>
      </x:c>
      <x:c r="C119" s="18" t="str">
        <x:v>vaccination schedule</x:v>
      </x:c>
      <x:c r="D119" s="19" t="n">
        <x:v>110000</x:v>
      </x:c>
      <x:c r="E119" s="18" t="str">
        <x:v>Inferior a 240.000</x:v>
      </x:c>
      <x:c r="F119" s="18" t="str">
        <x:v>Reserva: NO cumple demanda autorizada</x:v>
      </x:c>
      <x:c r="G119" s="18" t="str">
        <x:v>Bienestar</x:v>
      </x:c>
      <x:c r="H119" s="18" t="str">
        <x:v>https://tools.usefulverse.com/tools/vaccination-schedule/</x:v>
      </x:c>
      <x:c r="I119" s="18" t="str">
        <x:v>Comparar edad e historial con un calendario oficial elegido por país y año.</x:v>
      </x:c>
      <x:c r="J119" s="18" t="str">
        <x:v>printable-calendar-maker no aplica pautas sanitarias por edad e historial.</x:v>
      </x:c>
      <x:c r="K119" s="18" t="str">
        <x:v>Fuentes oficiales, fecha y situaciones fuera de alcance; no sustituye consulta.</x:v>
      </x:c>
      <x:c r="L119" s="18" t="str">
        <x:v>Cálculo/editor/juego local propuesto</x:v>
      </x:c>
      <x:c r="M119" s="18" t="str">
        <x:v>Revisar motor, recursos y dependencias</x:v>
      </x:c>
      <x:c r="N119" s="18" t="str">
        <x:v>Interfaz en 37 idiomas; idioma no elige país ni reglas. Formatos Intl, RTL y datos/lexicón de idioma con cobertura explícita.</x:v>
      </x:c>
      <x:c r="O119" s="18" t="str">
        <x:v>global-candidates.json</x:v>
      </x:c>
      <x:c r="P119" s="18" t="str">
        <x:v>2025-10 / 2026-09</x:v>
      </x:c>
      <x:c r="Q119" s="18" t="str">
        <x:v>L</x:v>
      </x:c>
      <x:c r="R119" s="18" t="str">
        <x:v>UV0803</x:v>
      </x:c>
      <x:c r="S119" s="18" t="str">
        <x:v>Pendiente de fuente específica antes de implementar</x:v>
      </x:c>
    </x:row>
    <x:row r="120" ht="64" customHeight="1">
      <x:c r="A120" s="18" t="n">
        <x:v>104</x:v>
      </x:c>
      <x:c r="B120" s="18" t="str">
        <x:v>Conjugador de verbos</x:v>
      </x:c>
      <x:c r="C120" s="18" t="str">
        <x:v>conjugaison</x:v>
      </x:c>
      <x:c r="D120" s="19" t="n">
        <x:v>110000</x:v>
      </x:c>
      <x:c r="E120" s="18" t="str">
        <x:v>Inferior a 240.000</x:v>
      </x:c>
      <x:c r="F120" s="18" t="str">
        <x:v>Reserva: NO cumple demanda autorizada</x:v>
      </x:c>
      <x:c r="G120" s="18" t="str">
        <x:v>Idiomas</x:v>
      </x:c>
      <x:c r="H120" s="18" t="str">
        <x:v>https://tools.usefulverse.com/tools/verb-conjugator/</x:v>
      </x:c>
      <x:c r="I120" s="18" t="str">
        <x:v>Conjugar por persona, tiempo y modo, y practicar formas.</x:v>
      </x:c>
      <x:c r="J120" s="18" t="str">
        <x:v>spelling-practice comprueba una lista; no modela flexión verbal.</x:v>
      </x:c>
      <x:c r="K120" s="18" t="str">
        <x:v>Morfología abierta por lengua y casos irregulares documentados.</x:v>
      </x:c>
      <x:c r="L120" s="18" t="str">
        <x:v>Cálculo/editor/juego local propuesto</x:v>
      </x:c>
      <x:c r="M120" s="18" t="str">
        <x:v>Revisar motor, recursos y dependencias</x:v>
      </x:c>
      <x:c r="N120" s="18" t="str">
        <x:v>Interfaz en 37 idiomas; idioma no elige país ni reglas. Formatos Intl, RTL y datos/lexicón de idioma con cobertura explícita.</x:v>
      </x:c>
      <x:c r="O120" s="18" t="str">
        <x:v>global-candidates.json</x:v>
      </x:c>
      <x:c r="P120" s="18" t="str">
        <x:v>2025-10 / 2026-09</x:v>
      </x:c>
      <x:c r="Q120" s="18" t="str">
        <x:v>M</x:v>
      </x:c>
      <x:c r="R120" s="18" t="str">
        <x:v>UV0804</x:v>
      </x:c>
      <x:c r="S120" s="18" t="str">
        <x:v>Pendiente de fuente específica antes de implementar</x:v>
      </x:c>
    </x:row>
    <x:row r="121" ht="64" customHeight="1">
      <x:c r="A121" s="18" t="n">
        <x:v>105</x:v>
      </x:c>
      <x:c r="B121" s="18" t="str">
        <x:v>Whist</x:v>
      </x:c>
      <x:c r="C121" s="18" t="str">
        <x:v>whist</x:v>
      </x:c>
      <x:c r="D121" s="19" t="n">
        <x:v>110000</x:v>
      </x:c>
      <x:c r="E121" s="18" t="str">
        <x:v>Inferior a 240.000</x:v>
      </x:c>
      <x:c r="F121" s="18" t="str">
        <x:v>Reserva: NO cumple demanda autorizada</x:v>
      </x:c>
      <x:c r="G121" s="18" t="str">
        <x:v>Juegos</x:v>
      </x:c>
      <x:c r="H121" s="18" t="str">
        <x:v>https://tools.usefulverse.com/tools/whist/</x:v>
      </x:c>
      <x:c r="I121" s="18" t="str">
        <x:v>Jugar bazas por parejas sin subasta y puntuar exceso de bazas.</x:v>
      </x:c>
      <x:c r="J121" s="18" t="str">
        <x:v>bridge-game tiene subasta y contratos; Whist mantiene otro flujo de partida.</x:v>
      </x:c>
      <x:c r="K121" s="18" t="str">
        <x:v>Reglas y variantes explícitas; no contar variantes de nombres como herramientas.</x:v>
      </x:c>
      <x:c r="L121" s="18" t="str">
        <x:v>Cálculo/editor/juego local propuesto</x:v>
      </x:c>
      <x:c r="M121" s="18" t="str">
        <x:v>Revisar motor, recursos y dependencias</x:v>
      </x:c>
      <x:c r="N121" s="18" t="str">
        <x:v>Interfaz en 37 idiomas; idioma no elige país ni reglas. Reglas y variante elegibles; ayudas claras y arte propio.</x:v>
      </x:c>
      <x:c r="O121" s="18" t="str">
        <x:v>global-initial-screen.json</x:v>
      </x:c>
      <x:c r="P121" s="18" t="str">
        <x:v>2025-10 / 2026-09</x:v>
      </x:c>
      <x:c r="Q121" s="18" t="str">
        <x:v>M</x:v>
      </x:c>
      <x:c r="R121" s="18" t="str">
        <x:v>UV0805</x:v>
      </x:c>
      <x:c r="S121" s="18" t="str">
        <x:v>Pendiente de fuente específica antes de implementar</x:v>
      </x:c>
    </x:row>
    <x:row r="122" ht="64" customHeight="1">
      <x:c r="A122" s="18" t="n">
        <x:v>106</x:v>
      </x:c>
      <x:c r="B122" s="18" t="str">
        <x:v>Vacaciones de Brasil</x:v>
      </x:c>
      <x:c r="C122" s="18" t="str">
        <x:v>calculo ferias</x:v>
      </x:c>
      <x:c r="D122" s="19" t="n">
        <x:v>90500</x:v>
      </x:c>
      <x:c r="E122" s="18" t="str">
        <x:v>Inferior a 240.000</x:v>
      </x:c>
      <x:c r="F122" s="18" t="str">
        <x:v>Reserva: NO cumple demanda autorizada</x:v>
      </x:c>
      <x:c r="G122" s="18" t="str">
        <x:v>Finanzas</x:v>
      </x:c>
      <x:c r="H122" s="18" t="str">
        <x:v>https://tools.usefulverse.com/tools/brazil-vacation-pay-calculator/</x:v>
      </x:c>
      <x:c r="I122" s="18" t="str">
        <x:v>Calcular remuneración de vacaciones, tercio constitucional y abono con retenciones.</x:v>
      </x:c>
      <x:c r="J122" s="18" t="str">
        <x:v>norway-holiday-pay-calculator usa una base porcentual distinta de CLT.</x:v>
      </x:c>
      <x:c r="K122" s="18" t="str">
        <x:v>Reglas laborales y tributarias oficiales por año.</x:v>
      </x:c>
      <x:c r="L122" s="18" t="str">
        <x:v>Cálculo/editor/juego local propuesto</x:v>
      </x:c>
      <x:c r="M122" s="18" t="str">
        <x:v>Alta: normativa y tablas por ejercicio</x:v>
      </x:c>
      <x:c r="N122" s="18" t="str">
        <x:v>Interfaz en 37 idiomas; idioma no elige país ni reglas. Jurisdicción y año visibles; fuentes oficiales del país.</x:v>
      </x:c>
      <x:c r="O122" s="18" t="str">
        <x:v>global-candidates.json</x:v>
      </x:c>
      <x:c r="P122" s="18" t="str">
        <x:v>2025-10 / 2026-09</x:v>
      </x:c>
      <x:c r="Q122" s="18" t="str">
        <x:v>L</x:v>
      </x:c>
      <x:c r="R122" s="18" t="str">
        <x:v>UV0806</x:v>
      </x:c>
      <x:c r="S122" s="18" t="str">
        <x:v>https://www.gov.br/trabalho-e-emprego/pt-br/acesso-a-informacao/acoes-e-programas/programas-projetos-acoes-obras-e-atividades/proteja/duvidas-frequentes</x:v>
      </x:c>
    </x:row>
    <x:row r="123" ht="64" customHeight="1">
      <x:c r="A123" s="18" t="n">
        <x:v>107</x:v>
      </x:c>
      <x:c r="B123" s="18" t="str">
        <x:v>Combinación de correspondencia</x:v>
      </x:c>
      <x:c r="C123" s="18" t="str">
        <x:v>mail merge</x:v>
      </x:c>
      <x:c r="D123" s="19" t="n">
        <x:v>90500</x:v>
      </x:c>
      <x:c r="E123" s="18" t="str">
        <x:v>Inferior a 240.000</x:v>
      </x:c>
      <x:c r="F123" s="18" t="str">
        <x:v>Reserva: NO cumple demanda autorizada</x:v>
      </x:c>
      <x:c r="G123" s="18" t="str">
        <x:v>Trabajo</x:v>
      </x:c>
      <x:c r="H123" s="18" t="str">
        <x:v>https://tools.usefulverse.com/tools/document-mail-merge/</x:v>
      </x:c>
      <x:c r="I123" s="18" t="str">
        <x:v>Unir una plantilla con una tabla de destinatarios y generar documentos personalizados localmente.</x:v>
      </x:c>
      <x:c r="J123" s="18" t="str">
        <x:v>business-letter-generator genera una carta; no materializa cientos de documentos desde datos.</x:v>
      </x:c>
      <x:c r="K123" s="18" t="str">
        <x:v>Sin envío de correo; plantillas del usuario y exportación local.</x:v>
      </x:c>
      <x:c r="L123" s="18" t="str">
        <x:v>Cálculo/editor/juego local propuesto</x:v>
      </x:c>
      <x:c r="M123" s="18" t="str">
        <x:v>Revisar motor, recursos y dependencias</x:v>
      </x:c>
      <x:c r="N123" s="18" t="str">
        <x:v>Interfaz en 37 idiomas; idioma no elige país ni reglas. Formatos Intl, RTL y datos/lexicón de idioma con cobertura explícita.</x:v>
      </x:c>
      <x:c r="O123" s="18" t="str">
        <x:v>global-candidates.json</x:v>
      </x:c>
      <x:c r="P123" s="18" t="str">
        <x:v>2025-10 / 2026-09</x:v>
      </x:c>
      <x:c r="Q123" s="18" t="str">
        <x:v>M</x:v>
      </x:c>
      <x:c r="R123" s="18" t="str">
        <x:v>UV0807</x:v>
      </x:c>
      <x:c r="S123" s="18" t="str">
        <x:v>Pendiente de fuente específica antes de implementar</x:v>
      </x:c>
    </x:row>
    <x:row r="124" ht="64" customHeight="1">
      <x:c r="A124" s="18" t="n">
        <x:v>108</x:v>
      </x:c>
      <x:c r="B124" s="18" t="str">
        <x:v>Carrera infinita</x:v>
      </x:c>
      <x:c r="C124" s="18" t="str">
        <x:v>running games</x:v>
      </x:c>
      <x:c r="D124" s="19" t="n">
        <x:v>90500</x:v>
      </x:c>
      <x:c r="E124" s="18" t="str">
        <x:v>Inferior a 240.000</x:v>
      </x:c>
      <x:c r="F124" s="18" t="str">
        <x:v>Reserva: NO cumple demanda autorizada</x:v>
      </x:c>
      <x:c r="G124" s="18" t="str">
        <x:v>Juegos</x:v>
      </x:c>
      <x:c r="H124" s="18" t="str">
        <x:v>https://tools.usefulverse.com/tools/endless-runner/</x:v>
      </x:c>
      <x:c r="I124" s="18" t="str">
        <x:v>Esquivar obstáculos en una carrera generada con dificultad progresiva.</x:v>
      </x:c>
      <x:c r="J124" s="18" t="str">
        <x:v>platform-game tiene niveles y exploración; aquí cambia el control continuo y el objetivo.</x:v>
      </x:c>
      <x:c r="K124" s="18" t="str">
        <x:v>Una URL y arte propio; no marcas de runners conocidos.</x:v>
      </x:c>
      <x:c r="L124" s="18" t="str">
        <x:v>Cálculo/editor/juego local propuesto</x:v>
      </x:c>
      <x:c r="M124" s="18" t="str">
        <x:v>Revisar motor, recursos y dependencias</x:v>
      </x:c>
      <x:c r="N124" s="18" t="str">
        <x:v>Interfaz en 37 idiomas; idioma no elige país ni reglas. Reglas y variante elegibles; ayudas claras y arte propio.</x:v>
      </x:c>
      <x:c r="O124" s="18" t="str">
        <x:v>global-candidates.json</x:v>
      </x:c>
      <x:c r="P124" s="18" t="str">
        <x:v>2025-10 / 2026-09</x:v>
      </x:c>
      <x:c r="Q124" s="18" t="str">
        <x:v>M</x:v>
      </x:c>
      <x:c r="R124" s="18" t="str">
        <x:v>UV0808</x:v>
      </x:c>
      <x:c r="S124" s="18" t="str">
        <x:v>Pendiente de fuente específica antes de implementar</x:v>
      </x:c>
    </x:row>
    <x:row r="125" ht="64" customHeight="1">
      <x:c r="A125" s="18" t="n">
        <x:v>109</x:v>
      </x:c>
      <x:c r="B125" s="18" t="str">
        <x:v>Cuestionario GAD-7</x:v>
      </x:c>
      <x:c r="C125" s="18" t="str">
        <x:v>gad7</x:v>
      </x:c>
      <x:c r="D125" s="19" t="n">
        <x:v>90500</x:v>
      </x:c>
      <x:c r="E125" s="18" t="str">
        <x:v>Inferior a 240.000</x:v>
      </x:c>
      <x:c r="F125" s="18" t="str">
        <x:v>Reserva: NO cumple demanda autorizada</x:v>
      </x:c>
      <x:c r="G125" s="18" t="str">
        <x:v>Bienestar</x:v>
      </x:c>
      <x:c r="H125" s="18" t="str">
        <x:v>https://tools.usefulverse.com/tools/gad7-questionnaire/</x:v>
      </x:c>
      <x:c r="I125" s="18" t="str">
        <x:v>Completar la escala autorizada y mostrar puntuación y siguientes pasos no diagnósticos.</x:v>
      </x:c>
      <x:c r="J125" s="18" t="str">
        <x:v>PHQ-9 evalúa síntomas depresivos; GAD-7 evalúa ansiedad.</x:v>
      </x:c>
      <x:c r="K125" s="18" t="str">
        <x:v>Licencia, traducciones validadas y recursos por ubicación.</x:v>
      </x:c>
      <x:c r="L125" s="18" t="str">
        <x:v>Cálculo/editor/juego local propuesto</x:v>
      </x:c>
      <x:c r="M125" s="18" t="str">
        <x:v>Revisar motor, recursos y dependencias</x:v>
      </x:c>
      <x:c r="N125" s="18" t="str">
        <x:v>Interfaz en 37 idiomas; idioma no elige país ni reglas. Formatos Intl, RTL y datos/lexicón de idioma con cobertura explícita.</x:v>
      </x:c>
      <x:c r="O125" s="18" t="str">
        <x:v>global-candidates.json</x:v>
      </x:c>
      <x:c r="P125" s="18" t="str">
        <x:v>2025-10 / 2026-09</x:v>
      </x:c>
      <x:c r="Q125" s="18" t="str">
        <x:v>L</x:v>
      </x:c>
      <x:c r="R125" s="18" t="str">
        <x:v>UV0809</x:v>
      </x:c>
      <x:c r="S125" s="18" t="str">
        <x:v>Pendiente de fuente específica antes de implementar</x:v>
      </x:c>
    </x:row>
    <x:row r="126" ht="64" customHeight="1">
      <x:c r="A126" s="18" t="n">
        <x:v>110</x:v>
      </x:c>
      <x:c r="B126" s="18" t="str">
        <x:v>Torres de Hanói</x:v>
      </x:c>
      <x:c r="C126" s="18" t="str">
        <x:v>tower of hanoi</x:v>
      </x:c>
      <x:c r="D126" s="19" t="n">
        <x:v>90500</x:v>
      </x:c>
      <x:c r="E126" s="18" t="str">
        <x:v>Inferior a 240.000</x:v>
      </x:c>
      <x:c r="F126" s="18" t="str">
        <x:v>Reserva: NO cumple demanda autorizada</x:v>
      </x:c>
      <x:c r="G126" s="18" t="str">
        <x:v>Juegos</x:v>
      </x:c>
      <x:c r="H126" s="18" t="str">
        <x:v>https://tools.usefulverse.com/tools/hanoi-tower/</x:v>
      </x:c>
      <x:c r="I126" s="18" t="str">
        <x:v>Mover discos legalmente, contar movimientos y explorar solución mínima animada.</x:v>
      </x:c>
      <x:c r="J126" s="18" t="str">
        <x:v>sliding-puzzle desplaza fichas en una cuadrícula; no pilas con restricciones de tamaño.</x:v>
      </x:c>
      <x:c r="K126" s="18" t="str">
        <x:v>Un solo producto para tamaños y variantes del mismo rompecabezas.</x:v>
      </x:c>
      <x:c r="L126" s="18" t="str">
        <x:v>Cálculo/editor/juego local propuesto</x:v>
      </x:c>
      <x:c r="M126" s="18" t="str">
        <x:v>Revisar motor, recursos y dependencias</x:v>
      </x:c>
      <x:c r="N126" s="18" t="str">
        <x:v>Interfaz en 37 idiomas; idioma no elige país ni reglas. Reglas y variante elegibles; ayudas claras y arte propio.</x:v>
      </x:c>
      <x:c r="O126" s="18" t="str">
        <x:v>global-extras.json</x:v>
      </x:c>
      <x:c r="P126" s="18" t="str">
        <x:v>2025-10 / 2026-09</x:v>
      </x:c>
      <x:c r="Q126" s="18" t="str">
        <x:v>M</x:v>
      </x:c>
      <x:c r="R126" s="18" t="str">
        <x:v>UV0810</x:v>
      </x:c>
      <x:c r="S126" s="18" t="str">
        <x:v>Pendiente de fuente específica antes de implementar</x:v>
      </x:c>
    </x:row>
    <x:row r="127" ht="64" customHeight="1">
      <x:c r="A127" s="18" t="n">
        <x:v>111</x:v>
      </x:c>
      <x:c r="B127" s="18" t="str">
        <x:v>Renta y residencia fiscal de Japón</x:v>
      </x:c>
      <x:c r="C127" s="18" t="str">
        <x:v>所得税 計算</x:v>
      </x:c>
      <x:c r="D127" s="19" t="n">
        <x:v>90500</x:v>
      </x:c>
      <x:c r="E127" s="18" t="str">
        <x:v>Inferior a 240.000</x:v>
      </x:c>
      <x:c r="F127" s="18" t="str">
        <x:v>Reserva: NO cumple demanda autorizada</x:v>
      </x:c>
      <x:c r="G127" s="18" t="str">
        <x:v>Finanzas</x:v>
      </x:c>
      <x:c r="H127" s="18" t="str">
        <x:v>https://tools.usefulverse.com/tools/japan-income-tax/</x:v>
      </x:c>
      <x:c r="I127" s="18" t="str">
        <x:v>Estimar impuesto de renta y residencia con deducciones y año declarado.</x:v>
      </x:c>
      <x:c r="J127" s="18" t="str">
        <x:v>No existe cálculo fiscal japonés; no inferir residencia desde interfaz japonesa.</x:v>
      </x:c>
      <x:c r="K127" s="18" t="str">
        <x:v>Fuentes oficiales y diferencias municipales declaradas.</x:v>
      </x:c>
      <x:c r="L127" s="18" t="str">
        <x:v>Cálculo/editor/juego local propuesto</x:v>
      </x:c>
      <x:c r="M127" s="18" t="str">
        <x:v>Alta: normativa y tablas por ejercicio</x:v>
      </x:c>
      <x:c r="N127" s="18" t="str">
        <x:v>Interfaz en 37 idiomas; idioma no elige país ni reglas. Jurisdicción y año visibles; fuentes oficiales del país.</x:v>
      </x:c>
      <x:c r="O127" s="18" t="str">
        <x:v>global-candidates.json</x:v>
      </x:c>
      <x:c r="P127" s="18" t="str">
        <x:v>2025-10 / 2026-09</x:v>
      </x:c>
      <x:c r="Q127" s="18" t="str">
        <x:v>L</x:v>
      </x:c>
      <x:c r="R127" s="18" t="str">
        <x:v>UV0811</x:v>
      </x:c>
      <x:c r="S127" s="18" t="str">
        <x:v>Pendiente de fuente específica antes de implementar</x:v>
      </x:c>
    </x:row>
    <x:row r="128" ht="64" customHeight="1">
      <x:c r="A128" s="18" t="n">
        <x:v>112</x:v>
      </x:c>
      <x:c r="B128" s="18" t="str">
        <x:v>Pinochle</x:v>
      </x:c>
      <x:c r="C128" s="18" t="str">
        <x:v>pinochle</x:v>
      </x:c>
      <x:c r="D128" s="19" t="n">
        <x:v>90500</x:v>
      </x:c>
      <x:c r="E128" s="18" t="str">
        <x:v>Inferior a 240.000</x:v>
      </x:c>
      <x:c r="F128" s="18" t="str">
        <x:v>Reserva: NO cumple demanda autorizada</x:v>
      </x:c>
      <x:c r="G128" s="18" t="str">
        <x:v>Juegos</x:v>
      </x:c>
      <x:c r="H128" s="18" t="str">
        <x:v>https://tools.usefulverse.com/tools/pinochle/</x:v>
      </x:c>
      <x:c r="I128" s="18" t="str">
        <x:v>Jugar subasta, melds y bazas con baraja duplicada y anotación propia.</x:v>
      </x:c>
      <x:c r="J128" s="18" t="str">
        <x:v>canasta usa combinaciones y descarte; Pinochle tiene subasta y bazas.</x:v>
      </x:c>
      <x:c r="K128" s="18" t="str">
        <x:v>Reglas de una o dos barajas seleccionables y bots locales.</x:v>
      </x:c>
      <x:c r="L128" s="18" t="str">
        <x:v>Cálculo/editor/juego local propuesto</x:v>
      </x:c>
      <x:c r="M128" s="18" t="str">
        <x:v>Revisar motor, recursos y dependencias</x:v>
      </x:c>
      <x:c r="N128" s="18" t="str">
        <x:v>Interfaz en 37 idiomas; idioma no elige país ni reglas. Reglas y variante elegibles; ayudas claras y arte propio.</x:v>
      </x:c>
      <x:c r="O128" s="18" t="str">
        <x:v>global-initial-screen.json</x:v>
      </x:c>
      <x:c r="P128" s="18" t="str">
        <x:v>2025-10 / 2026-09</x:v>
      </x:c>
      <x:c r="Q128" s="18" t="str">
        <x:v>M</x:v>
      </x:c>
      <x:c r="R128" s="18" t="str">
        <x:v>UV0812</x:v>
      </x:c>
      <x:c r="S128" s="18" t="str">
        <x:v>Pendiente de fuente específica antes de implementar</x:v>
      </x:c>
    </x:row>
    <x:row r="129" ht="64" customHeight="1">
      <x:c r="A129" s="18" t="n">
        <x:v>113</x:v>
      </x:c>
      <x:c r="B129" s="18" t="str">
        <x:v>Calculadora de zakat</x:v>
      </x:c>
      <x:c r="C129" s="18" t="str">
        <x:v>zakat calculator</x:v>
      </x:c>
      <x:c r="D129" s="19" t="n">
        <x:v>90500</x:v>
      </x:c>
      <x:c r="E129" s="18" t="str">
        <x:v>Inferior a 240.000</x:v>
      </x:c>
      <x:c r="F129" s="18" t="str">
        <x:v>Reserva: NO cumple demanda autorizada</x:v>
      </x:c>
      <x:c r="G129" s="18" t="str">
        <x:v>Vida</x:v>
      </x:c>
      <x:c r="H129" s="18" t="str">
        <x:v>https://tools.usefulverse.com/tools/zakat-calculator/</x:v>
      </x:c>
      <x:c r="I129" s="18" t="str">
        <x:v>Clasificar activos y pasivos y calcular una estimación con nisab y criterio elegidos.</x:v>
      </x:c>
      <x:c r="J129" s="18" t="str">
        <x:v>net-worth-calculator suma patrimonio; no aplica elegibilidad, nisab ni hawl.</x:v>
      </x:c>
      <x:c r="K129" s="18" t="str">
        <x:v>Criterios explícitos y cotización introducida o fuente permitida y fechada.</x:v>
      </x:c>
      <x:c r="L129" s="18" t="str">
        <x:v>Cálculo/editor/juego local propuesto</x:v>
      </x:c>
      <x:c r="M129" s="18" t="str">
        <x:v>Revisar motor, recursos y dependencias</x:v>
      </x:c>
      <x:c r="N129" s="18" t="str">
        <x:v>Interfaz en 37 idiomas; idioma no elige país ni reglas. Formatos Intl, RTL y datos/lexicón de idioma con cobertura explícita.</x:v>
      </x:c>
      <x:c r="O129" s="18" t="str">
        <x:v>global-candidates.json</x:v>
      </x:c>
      <x:c r="P129" s="18" t="str">
        <x:v>2025-10 / 2026-09</x:v>
      </x:c>
      <x:c r="Q129" s="18" t="str">
        <x:v>M</x:v>
      </x:c>
      <x:c r="R129" s="18" t="str">
        <x:v>UV0813</x:v>
      </x:c>
      <x:c r="S129" s="18" t="str">
        <x:v>Pendiente de fuente específica antes de implementar</x:v>
      </x:c>
    </x:row>
    <x:row r="130" ht="64" customHeight="1">
      <x:c r="A130" s="18" t="n">
        <x:v>114</x:v>
      </x:c>
      <x:c r="B130" s="18" t="str">
        <x:v>Puzzle de bloques</x:v>
      </x:c>
      <x:c r="C130" s="18" t="str">
        <x:v>block puzzle</x:v>
      </x:c>
      <x:c r="D130" s="19" t="n">
        <x:v>74000</x:v>
      </x:c>
      <x:c r="E130" s="18" t="str">
        <x:v>Inferior a 240.000</x:v>
      </x:c>
      <x:c r="F130" s="18" t="str">
        <x:v>Reserva: NO cumple demanda autorizada</x:v>
      </x:c>
      <x:c r="G130" s="18" t="str">
        <x:v>Juegos</x:v>
      </x:c>
      <x:c r="H130" s="18" t="str">
        <x:v>https://tools.usefulverse.com/tools/block-puzzle/</x:v>
      </x:c>
      <x:c r="I130" s="18" t="str">
        <x:v>Colocar piezas en una cuadrícula y completar líneas con un diseño original.</x:v>
      </x:c>
      <x:c r="J130" s="18" t="str">
        <x:v>brick-breaker-game es de pelota; 2048 fusiona números y no coloca piezas.</x:v>
      </x:c>
      <x:c r="K130" s="18" t="str">
        <x:v>Excluir marcas como keyword calificable; reglas y arte propios.</x:v>
      </x:c>
      <x:c r="L130" s="18" t="str">
        <x:v>Cálculo/editor/juego local propuesto</x:v>
      </x:c>
      <x:c r="M130" s="18" t="str">
        <x:v>Revisar motor, recursos y dependencias</x:v>
      </x:c>
      <x:c r="N130" s="18" t="str">
        <x:v>Interfaz en 37 idiomas; idioma no elige país ni reglas. Reglas y variante elegibles; ayudas claras y arte propio.</x:v>
      </x:c>
      <x:c r="O130" s="18" t="str">
        <x:v>global-candidates.json</x:v>
      </x:c>
      <x:c r="P130" s="18" t="str">
        <x:v>2025-10 / 2026-09</x:v>
      </x:c>
      <x:c r="Q130" s="18" t="str">
        <x:v>M</x:v>
      </x:c>
      <x:c r="R130" s="18" t="str">
        <x:v>UV0814</x:v>
      </x:c>
      <x:c r="S130" s="18" t="str">
        <x:v>Pendiente de fuente específica antes de implementar</x:v>
      </x:c>
    </x:row>
    <x:row r="131" ht="64" customHeight="1">
      <x:c r="A131" s="18" t="n">
        <x:v>115</x:v>
      </x:c>
      <x:c r="B131" s="18" t="str">
        <x:v>Aclaramiento de creatinina</x:v>
      </x:c>
      <x:c r="C131" s="18" t="str">
        <x:v>creatinine clearance calculator</x:v>
      </x:c>
      <x:c r="D131" s="19" t="n">
        <x:v>74000</x:v>
      </x:c>
      <x:c r="E131" s="18" t="str">
        <x:v>Inferior a 240.000</x:v>
      </x:c>
      <x:c r="F131" s="18" t="str">
        <x:v>Reserva: NO cumple demanda autorizada</x:v>
      </x:c>
      <x:c r="G131" s="18" t="str">
        <x:v>Bienestar</x:v>
      </x:c>
      <x:c r="H131" s="18" t="str">
        <x:v>https://tools.usefulverse.com/tools/creatinine-clearance-calculator/</x:v>
      </x:c>
      <x:c r="I131" s="18" t="str">
        <x:v>Calcular una estimación de aclaramiento con método y peso elegidos explícitamente.</x:v>
      </x:c>
      <x:c r="J131" s="18" t="str">
        <x:v>eGFR y Cockcroft–Gault estiman magnitudes clínicas distintas y no son intercambiables.</x:v>
      </x:c>
      <x:c r="K131" s="18" t="str">
        <x:v>Fuente primaria y limitaciones por población; sin recomendar dosis.</x:v>
      </x:c>
      <x:c r="L131" s="18" t="str">
        <x:v>Cálculo/editor/juego local propuesto</x:v>
      </x:c>
      <x:c r="M131" s="18" t="str">
        <x:v>Revisar motor, recursos y dependencias</x:v>
      </x:c>
      <x:c r="N131" s="18" t="str">
        <x:v>Interfaz en 37 idiomas; idioma no elige país ni reglas. Formatos Intl, RTL y datos/lexicón de idioma con cobertura explícita.</x:v>
      </x:c>
      <x:c r="O131" s="18" t="str">
        <x:v>global-candidates.json</x:v>
      </x:c>
      <x:c r="P131" s="18" t="str">
        <x:v>2025-10 / 2026-09</x:v>
      </x:c>
      <x:c r="Q131" s="18" t="str">
        <x:v>L</x:v>
      </x:c>
      <x:c r="R131" s="18" t="str">
        <x:v>UV0815</x:v>
      </x:c>
      <x:c r="S131" s="18" t="str">
        <x:v>Pendiente de fuente específica antes de implementar</x:v>
      </x:c>
    </x:row>
    <x:row r="132" ht="64" customHeight="1">
      <x:c r="A132" s="18" t="n">
        <x:v>116</x:v>
      </x:c>
      <x:c r="B132" s="18" t="str">
        <x:v>Impuesto sobre la renta de Francia</x:v>
      </x:c>
      <x:c r="C132" s="18" t="str">
        <x:v>simulateur impots</x:v>
      </x:c>
      <x:c r="D132" s="19" t="n">
        <x:v>74000</x:v>
      </x:c>
      <x:c r="E132" s="18" t="str">
        <x:v>Inferior a 240.000</x:v>
      </x:c>
      <x:c r="F132" s="18" t="str">
        <x:v>Reserva: NO cumple demanda autorizada</x:v>
      </x:c>
      <x:c r="G132" s="18" t="str">
        <x:v>Finanzas</x:v>
      </x:c>
      <x:c r="H132" s="18" t="str">
        <x:v>https://tools.usefulverse.com/tools/france-income-tax/</x:v>
      </x:c>
      <x:c r="I132" s="18" t="str">
        <x:v>Estimar impuesto con quotient familial, partes, décote y límites del ejercicio.</x:v>
      </x:c>
      <x:c r="J132" s="18" t="str">
        <x:v>tax-calculator no incorpora cociente familiar ni reglas francesas.</x:v>
      </x:c>
      <x:c r="K132" s="18" t="str">
        <x:v>Fuentes fiscales oficiales y supuestos de declaración explícitos.</x:v>
      </x:c>
      <x:c r="L132" s="18" t="str">
        <x:v>Cálculo/editor/juego local propuesto</x:v>
      </x:c>
      <x:c r="M132" s="18" t="str">
        <x:v>Alta: normativa y tablas por ejercicio</x:v>
      </x:c>
      <x:c r="N132" s="18" t="str">
        <x:v>Interfaz en 37 idiomas; idioma no elige país ni reglas. Jurisdicción y año visibles; fuentes oficiales del país.</x:v>
      </x:c>
      <x:c r="O132" s="18" t="str">
        <x:v>global-candidates.json</x:v>
      </x:c>
      <x:c r="P132" s="18" t="str">
        <x:v>2025-10 / 2026-09</x:v>
      </x:c>
      <x:c r="Q132" s="18" t="str">
        <x:v>L</x:v>
      </x:c>
      <x:c r="R132" s="18" t="str">
        <x:v>UV0816</x:v>
      </x:c>
      <x:c r="S132" s="18" t="str">
        <x:v>Pendiente de fuente específica antes de implementar</x:v>
      </x:c>
    </x:row>
    <x:row r="133" ht="64" customHeight="1">
      <x:c r="A133" s="18" t="n">
        <x:v>117</x:v>
      </x:c>
      <x:c r="B133" s="18" t="str">
        <x:v>Comprobación auditiva orientativa</x:v>
      </x:c>
      <x:c r="C133" s="18" t="str">
        <x:v>hearing test</x:v>
      </x:c>
      <x:c r="D133" s="19" t="n">
        <x:v>74000</x:v>
      </x:c>
      <x:c r="E133" s="18" t="str">
        <x:v>Inferior a 240.000</x:v>
      </x:c>
      <x:c r="F133" s="18" t="str">
        <x:v>Reserva: NO cumple demanda autorizada</x:v>
      </x:c>
      <x:c r="G133" s="18" t="str">
        <x:v>Bienestar</x:v>
      </x:c>
      <x:c r="H133" s="18" t="str">
        <x:v>https://tools.usefulverse.com/tools/hearing-self-check/</x:v>
      </x:c>
      <x:c r="I133" s="18" t="str">
        <x:v>Realizar una tarea auditiva con controles de volumen y explicar límites sin calibración clínica.</x:v>
      </x:c>
      <x:c r="J133" s="18" t="str">
        <x:v>speaker-tester comprueba salida izquierda/derecha; no mide respuestas del usuario.</x:v>
      </x:c>
      <x:c r="K133" s="18" t="str">
        <x:v>Protocolo autorizado; no producir audiograma clínico ni subir volumen automáticamente.</x:v>
      </x:c>
      <x:c r="L133" s="18" t="str">
        <x:v>Cálculo/editor/juego local propuesto</x:v>
      </x:c>
      <x:c r="M133" s="18" t="str">
        <x:v>Revisar motor, recursos y dependencias</x:v>
      </x:c>
      <x:c r="N133" s="18" t="str">
        <x:v>Interfaz en 37 idiomas; idioma no elige país ni reglas. Formatos Intl, RTL y datos/lexicón de idioma con cobertura explícita.</x:v>
      </x:c>
      <x:c r="O133" s="18" t="str">
        <x:v>global-initial-screen.json</x:v>
      </x:c>
      <x:c r="P133" s="18" t="str">
        <x:v>2025-10 / 2026-09</x:v>
      </x:c>
      <x:c r="Q133" s="18" t="str">
        <x:v>L</x:v>
      </x:c>
      <x:c r="R133" s="18" t="str">
        <x:v>UV0817</x:v>
      </x:c>
      <x:c r="S133" s="18" t="str">
        <x:v>Pendiente de fuente específica antes de implementar</x:v>
      </x:c>
    </x:row>
    <x:row r="134" ht="64" customHeight="1">
      <x:c r="A134" s="18" t="n">
        <x:v>118</x:v>
      </x:c>
      <x:c r="B134" s="18" t="str">
        <x:v>Salario neto de Portugal</x:v>
      </x:c>
      <x:c r="C134" s="18" t="str">
        <x:v>salario liquido</x:v>
      </x:c>
      <x:c r="D134" s="19" t="n">
        <x:v>74000</x:v>
      </x:c>
      <x:c r="E134" s="18" t="str">
        <x:v>Inferior a 240.000</x:v>
      </x:c>
      <x:c r="F134" s="18" t="str">
        <x:v>Reserva: NO cumple demanda autorizada</x:v>
      </x:c>
      <x:c r="G134" s="18" t="str">
        <x:v>Finanzas</x:v>
      </x:c>
      <x:c r="H134" s="18" t="str">
        <x:v>https://tools.usefulverse.com/tools/portugal-net-salary/</x:v>
      </x:c>
      <x:c r="I134" s="18" t="str">
        <x:v>Estimar nómina con retenciones, seguridad social y subsidios del territorio elegido.</x:v>
      </x:c>
      <x:c r="J134" s="18" t="str">
        <x:v>salary-to-hourly-calculator no aplica tablas portuguesas ni subsidios.</x:v>
      </x:c>
      <x:c r="K134" s="18" t="str">
        <x:v>Tablas oficiales por territorio y año; dependientes y situación fiscal editables.</x:v>
      </x:c>
      <x:c r="L134" s="18" t="str">
        <x:v>Cálculo/editor/juego local propuesto</x:v>
      </x:c>
      <x:c r="M134" s="18" t="str">
        <x:v>Alta: normativa y tablas por ejercicio</x:v>
      </x:c>
      <x:c r="N134" s="18" t="str">
        <x:v>Interfaz en 37 idiomas; idioma no elige país ni reglas. Jurisdicción y año visibles; fuentes oficiales del país.</x:v>
      </x:c>
      <x:c r="O134" s="18" t="str">
        <x:v>global-candidates.json</x:v>
      </x:c>
      <x:c r="P134" s="18" t="str">
        <x:v>2025-10 / 2026-09</x:v>
      </x:c>
      <x:c r="Q134" s="18" t="str">
        <x:v>L</x:v>
      </x:c>
      <x:c r="R134" s="18" t="str">
        <x:v>UV0818</x:v>
      </x:c>
      <x:c r="S134" s="18" t="str">
        <x:v>Pendiente de fuente específica antes de implementar</x:v>
      </x:c>
    </x:row>
    <x:row r="135" ht="64" customHeight="1">
      <x:c r="A135" s="18" t="n">
        <x:v>119</x:v>
      </x:c>
      <x:c r="B135" s="18" t="str">
        <x:v>Disparos espaciales</x:v>
      </x:c>
      <x:c r="C135" s="18" t="str">
        <x:v>space games</x:v>
      </x:c>
      <x:c r="D135" s="19" t="n">
        <x:v>74000</x:v>
      </x:c>
      <x:c r="E135" s="18" t="str">
        <x:v>Inferior a 240.000</x:v>
      </x:c>
      <x:c r="F135" s="18" t="str">
        <x:v>Reserva: NO cumple demanda autorizada</x:v>
      </x:c>
      <x:c r="G135" s="18" t="str">
        <x:v>Juegos</x:v>
      </x:c>
      <x:c r="H135" s="18" t="str">
        <x:v>https://tools.usefulverse.com/tools/space-shooter/</x:v>
      </x:c>
      <x:c r="I135" s="18" t="str">
        <x:v>Pilotar, esquivar y disparar en oleadas originales con progresión local.</x:v>
      </x:c>
      <x:c r="J135" s="18" t="str">
        <x:v>aim-trainer mide puntería en blancos; no es una partida de combate espacial.</x:v>
      </x:c>
      <x:c r="K135" s="18" t="str">
        <x:v>Arte y sonido propios; sin referencia a franquicias.</x:v>
      </x:c>
      <x:c r="L135" s="18" t="str">
        <x:v>Cálculo/editor/juego local propuesto</x:v>
      </x:c>
      <x:c r="M135" s="18" t="str">
        <x:v>Revisar motor, recursos y dependencias</x:v>
      </x:c>
      <x:c r="N135" s="18" t="str">
        <x:v>Interfaz en 37 idiomas; idioma no elige país ni reglas. Reglas y variante elegibles; ayudas claras y arte propio.</x:v>
      </x:c>
      <x:c r="O135" s="18" t="str">
        <x:v>global-candidates.json</x:v>
      </x:c>
      <x:c r="P135" s="18" t="str">
        <x:v>2025-10 / 2026-09</x:v>
      </x:c>
      <x:c r="Q135" s="18" t="str">
        <x:v>M</x:v>
      </x:c>
      <x:c r="R135" s="18" t="str">
        <x:v>UV0819</x:v>
      </x:c>
      <x:c r="S135" s="18" t="str">
        <x:v>Pendiente de fuente específica antes de implementar</x:v>
      </x:c>
    </x:row>
    <x:row r="136" ht="64" customHeight="1">
      <x:c r="A136" s="18" t="n">
        <x:v>120</x:v>
      </x:c>
      <x:c r="B136" s="18" t="str">
        <x:v>Comprobador de TLS de una web</x:v>
      </x:c>
      <x:c r="C136" s="18" t="str">
        <x:v>ssl checker</x:v>
      </x:c>
      <x:c r="D136" s="19" t="n">
        <x:v>74000</x:v>
      </x:c>
      <x:c r="E136" s="18" t="str">
        <x:v>Inferior a 240.000</x:v>
      </x:c>
      <x:c r="F136" s="18" t="str">
        <x:v>Reserva: NO cumple demanda autorizada</x:v>
      </x:c>
      <x:c r="G136" s="18" t="str">
        <x:v>Desarrollo</x:v>
      </x:c>
      <x:c r="H136" s="18" t="str">
        <x:v>https://tools.usefulverse.com/tools/tls-site-checker/</x:v>
      </x:c>
      <x:c r="I136" s="18" t="str">
        <x:v>Consultar certificado presentado y contrastar nombre, fechas y cadena.</x:v>
      </x:c>
      <x:c r="J136" s="18" t="str">
        <x:v>certificate-decoder lee un PEM aportado; no comprueba el certificado de un servidor.</x:v>
      </x:c>
      <x:c r="K136" s="18" t="str">
        <x:v>No viable en navegador puro; pendiente de mecanismo gratuito verificable.</x:v>
      </x:c>
      <x:c r="L136" s="18" t="str">
        <x:v>Servicio/datos externos: condiciones y cuotas pendientes</x:v>
      </x:c>
      <x:c r="M136" s="18" t="str">
        <x:v>Datos: revisar fuente, licencia y cadencia</x:v>
      </x:c>
      <x:c r="N136" s="18" t="str">
        <x:v>Interfaz en 37 idiomas; idioma no elige país ni reglas. Formatos Intl, RTL y datos/lexicón de idioma con cobertura explícita.</x:v>
      </x:c>
      <x:c r="O136" s="18" t="str">
        <x:v>global-initial-screen.json</x:v>
      </x:c>
      <x:c r="P136" s="18" t="str">
        <x:v>2025-10 / 2026-09</x:v>
      </x:c>
      <x:c r="Q136" s="18" t="str">
        <x:v>L</x:v>
      </x:c>
      <x:c r="R136" s="18" t="str">
        <x:v>UV0820</x:v>
      </x:c>
      <x:c r="S136" s="18" t="str">
        <x:v>Pendiente de fuente específica antes de implementar</x:v>
      </x:c>
    </x:row>
    <x:row r="137" ht="64" customHeight="1">
      <x:c r="A137" s="18" t="n">
        <x:v>121</x:v>
      </x:c>
      <x:c r="B137" s="18" t="str">
        <x:v>Defensa de torres</x:v>
      </x:c>
      <x:c r="C137" s="18" t="str">
        <x:v>tower defense</x:v>
      </x:c>
      <x:c r="D137" s="19" t="n">
        <x:v>74000</x:v>
      </x:c>
      <x:c r="E137" s="18" t="str">
        <x:v>Inferior a 240.000</x:v>
      </x:c>
      <x:c r="F137" s="18" t="str">
        <x:v>Reserva: NO cumple demanda autorizada</x:v>
      </x:c>
      <x:c r="G137" s="18" t="str">
        <x:v>Juegos</x:v>
      </x:c>
      <x:c r="H137" s="18" t="str">
        <x:v>https://tools.usefulverse.com/tools/tower-defense/</x:v>
      </x:c>
      <x:c r="I137" s="18" t="str">
        <x:v>Colocar defensas, administrar recursos y frenar oleadas en mapas propios.</x:v>
      </x:c>
      <x:c r="J137" s="18" t="str">
        <x:v>No hay juego estratégico de oleadas y colocación.</x:v>
      </x:c>
      <x:c r="K137" s="18" t="str">
        <x:v>Mapas y gráficos originales; sin compras o servidores.</x:v>
      </x:c>
      <x:c r="L137" s="18" t="str">
        <x:v>Cálculo/editor/juego local propuesto</x:v>
      </x:c>
      <x:c r="M137" s="18" t="str">
        <x:v>Revisar motor, recursos y dependencias</x:v>
      </x:c>
      <x:c r="N137" s="18" t="str">
        <x:v>Interfaz en 37 idiomas; idioma no elige país ni reglas. Reglas y variante elegibles; ayudas claras y arte propio.</x:v>
      </x:c>
      <x:c r="O137" s="18" t="str">
        <x:v>global-candidates.json</x:v>
      </x:c>
      <x:c r="P137" s="18" t="str">
        <x:v>2025-10 / 2026-09</x:v>
      </x:c>
      <x:c r="Q137" s="18" t="str">
        <x:v>M</x:v>
      </x:c>
      <x:c r="R137" s="18" t="str">
        <x:v>UV0821</x:v>
      </x:c>
      <x:c r="S137" s="18" t="str">
        <x:v>Pendiente de fuente específica antes de implementar</x:v>
      </x:c>
    </x:row>
    <x:row r="138" ht="64" customHeight="1">
      <x:c r="A138" s="18" t="n">
        <x:v>122</x:v>
      </x:c>
      <x:c r="B138" s="18" t="str">
        <x:v>Batería virtual tocable</x:v>
      </x:c>
      <x:c r="C138" s="18" t="str">
        <x:v>virtual drums</x:v>
      </x:c>
      <x:c r="D138" s="19" t="n">
        <x:v>74000</x:v>
      </x:c>
      <x:c r="E138" s="18" t="str">
        <x:v>Inferior a 240.000</x:v>
      </x:c>
      <x:c r="F138" s="18" t="str">
        <x:v>Reserva: NO cumple demanda autorizada</x:v>
      </x:c>
      <x:c r="G138" s="18" t="str">
        <x:v>Música</x:v>
      </x:c>
      <x:c r="H138" s="18" t="str">
        <x:v>https://tools.usefulverse.com/tools/virtual-drum-kit/</x:v>
      </x:c>
      <x:c r="I138" s="18" t="str">
        <x:v>Tocar una batería con teclado o tacto, grabar golpes y exportar patrón.</x:v>
      </x:c>
      <x:c r="J138" s="18" t="str">
        <x:v>drum-machine programa pasos; aquí se interpreta en tiempo real.</x:v>
      </x:c>
      <x:c r="K138" s="18" t="str">
        <x:v>Muestras propias o abiertas y latencia indicada como dependiente del dispositivo.</x:v>
      </x:c>
      <x:c r="L138" s="18" t="str">
        <x:v>Cálculo/editor/juego local propuesto</x:v>
      </x:c>
      <x:c r="M138" s="18" t="str">
        <x:v>Revisar motor, recursos y dependencias</x:v>
      </x:c>
      <x:c r="N138" s="18" t="str">
        <x:v>Interfaz en 37 idiomas; idioma no elige país ni reglas. Formatos Intl, RTL y datos/lexicón de idioma con cobertura explícita.</x:v>
      </x:c>
      <x:c r="O138" s="18" t="str">
        <x:v>global-initial-screen.json</x:v>
      </x:c>
      <x:c r="P138" s="18" t="str">
        <x:v>2025-10 / 2026-09</x:v>
      </x:c>
      <x:c r="Q138" s="18" t="str">
        <x:v>M</x:v>
      </x:c>
      <x:c r="R138" s="18" t="str">
        <x:v>UV0822</x:v>
      </x:c>
      <x:c r="S138" s="18" t="str">
        <x:v>Pendiente de fuente específica antes de implementar</x:v>
      </x:c>
    </x:row>
    <x:row r="139" ht="64" customHeight="1">
      <x:c r="A139" s="18" t="n">
        <x:v>123</x:v>
      </x:c>
      <x:c r="B139" s="18" t="str">
        <x:v>Mapa de experiencia del cliente</x:v>
      </x:c>
      <x:c r="C139" s="18" t="str">
        <x:v>customer journey map</x:v>
      </x:c>
      <x:c r="D139" s="19" t="n">
        <x:v>60500</x:v>
      </x:c>
      <x:c r="E139" s="18" t="str">
        <x:v>Inferior a 240.000</x:v>
      </x:c>
      <x:c r="F139" s="18" t="str">
        <x:v>Reserva: NO cumple demanda autorizada</x:v>
      </x:c>
      <x:c r="G139" s="18" t="str">
        <x:v>Trabajo</x:v>
      </x:c>
      <x:c r="H139" s="18" t="str">
        <x:v>https://tools.usefulverse.com/tools/customer-journey-map/</x:v>
      </x:c>
      <x:c r="I139" s="18" t="str">
        <x:v>Organizar etapas, puntos de contacto, emociones y oportunidades con evidencias.</x:v>
      </x:c>
      <x:c r="J139" s="18" t="str">
        <x:v>timeline-maker ordena fechas; no modela etapas y canales de experiencia.</x:v>
      </x:c>
      <x:c r="K139" s="18" t="str">
        <x:v>Datos propios, sin inventar investigación de clientes.</x:v>
      </x:c>
      <x:c r="L139" s="18" t="str">
        <x:v>Cálculo/editor/juego local propuesto</x:v>
      </x:c>
      <x:c r="M139" s="18" t="str">
        <x:v>Revisar motor, recursos y dependencias</x:v>
      </x:c>
      <x:c r="N139" s="18" t="str">
        <x:v>Interfaz en 37 idiomas; idioma no elige país ni reglas. Formatos Intl, RTL y datos/lexicón de idioma con cobertura explícita.</x:v>
      </x:c>
      <x:c r="O139" s="18" t="str">
        <x:v>global-candidates.json</x:v>
      </x:c>
      <x:c r="P139" s="18" t="str">
        <x:v>2025-10 / 2026-09</x:v>
      </x:c>
      <x:c r="Q139" s="18" t="str">
        <x:v>M</x:v>
      </x:c>
      <x:c r="R139" s="18" t="str">
        <x:v>UV0823</x:v>
      </x:c>
      <x:c r="S139" s="18" t="str">
        <x:v>Pendiente de fuente específica antes de implementar</x:v>
      </x:c>
    </x:row>
    <x:row r="140" ht="64" customHeight="1">
      <x:c r="A140" s="18" t="n">
        <x:v>124</x:v>
      </x:c>
      <x:c r="B140" s="18" t="str">
        <x:v>Arbeitslosengeld de Alemania</x:v>
      </x:c>
      <x:c r="C140" s="18" t="str">
        <x:v>arbeitslosengeld rechner</x:v>
      </x:c>
      <x:c r="D140" s="19" t="n">
        <x:v>60500</x:v>
      </x:c>
      <x:c r="E140" s="18" t="str">
        <x:v>Inferior a 240.000</x:v>
      </x:c>
      <x:c r="F140" s="18" t="str">
        <x:v>Reserva: NO cumple demanda autorizada</x:v>
      </x:c>
      <x:c r="G140" s="18" t="str">
        <x:v>Finanzas</x:v>
      </x:c>
      <x:c r="H140" s="18" t="str">
        <x:v>https://tools.usefulverse.com/tools/germany-unemployment-benefit/</x:v>
      </x:c>
      <x:c r="I140" s="18" t="str">
        <x:v>Estimar ALG I con salario computable, clase fiscal e hijos según método oficial.</x:v>
      </x:c>
      <x:c r="J140" s="18" t="str">
        <x:v>No existe estimador del sistema ALG I.</x:v>
      </x:c>
      <x:c r="K140" s="18" t="str">
        <x:v>Fuente oficial y límites de casos, sin confundir con Bürgergeld.</x:v>
      </x:c>
      <x:c r="L140" s="18" t="str">
        <x:v>Cálculo/editor/juego local propuesto</x:v>
      </x:c>
      <x:c r="M140" s="18" t="str">
        <x:v>Alta: normativa y tablas por ejercicio</x:v>
      </x:c>
      <x:c r="N140" s="18" t="str">
        <x:v>Interfaz en 37 idiomas; idioma no elige país ni reglas. Jurisdicción y año visibles; fuentes oficiales del país.</x:v>
      </x:c>
      <x:c r="O140" s="18" t="str">
        <x:v>global-candidates.json</x:v>
      </x:c>
      <x:c r="P140" s="18" t="str">
        <x:v>2025-10 / 2026-09</x:v>
      </x:c>
      <x:c r="Q140" s="18" t="str">
        <x:v>L</x:v>
      </x:c>
      <x:c r="R140" s="18" t="str">
        <x:v>UV0824</x:v>
      </x:c>
      <x:c r="S140" s="18" t="str">
        <x:v>Pendiente de fuente específica antes de implementar</x:v>
      </x:c>
    </x:row>
    <x:row r="141" ht="64" customHeight="1">
      <x:c r="A141" s="18" t="n">
        <x:v>125</x:v>
      </x:c>
      <x:c r="B141" s="18" t="str">
        <x:v>Pizarra infinita local</x:v>
      </x:c>
      <x:c r="C141" s="18" t="str">
        <x:v>online whiteboard</x:v>
      </x:c>
      <x:c r="D141" s="19" t="n">
        <x:v>60500</x:v>
      </x:c>
      <x:c r="E141" s="18" t="str">
        <x:v>Inferior a 240.000</x:v>
      </x:c>
      <x:c r="F141" s="18" t="str">
        <x:v>Reserva: NO cumple demanda autorizada</x:v>
      </x:c>
      <x:c r="G141" s="18" t="str">
        <x:v>Creatividad</x:v>
      </x:c>
      <x:c r="H141" s="18" t="str">
        <x:v>https://tools.usefulverse.com/tools/online-whiteboard/</x:v>
      </x:c>
      <x:c r="I141" s="18" t="str">
        <x:v>Dibujar a mano, añadir notas y agrupar elementos en un lienzo ampliable.</x:v>
      </x:c>
      <x:c r="J141" s="18" t="str">
        <x:v>svg-editor compone formas de un gráfico; aquí el flujo es ideación y notas libres.</x:v>
      </x:c>
      <x:c r="K141" s="18" t="str">
        <x:v>Guardado local, exportación y ausencia de colaboración remota prometida.</x:v>
      </x:c>
      <x:c r="L141" s="18" t="str">
        <x:v>Cálculo/editor/juego local propuesto</x:v>
      </x:c>
      <x:c r="M141" s="18" t="str">
        <x:v>Revisar motor, recursos y dependencias</x:v>
      </x:c>
      <x:c r="N141" s="18" t="str">
        <x:v>Interfaz en 37 idiomas; idioma no elige país ni reglas. Formatos Intl, RTL y datos/lexicón de idioma con cobertura explícita.</x:v>
      </x:c>
      <x:c r="O141" s="18" t="str">
        <x:v>global-final-screen.json</x:v>
      </x:c>
      <x:c r="P141" s="18" t="str">
        <x:v>2025-10 / 2026-09</x:v>
      </x:c>
      <x:c r="Q141" s="18" t="str">
        <x:v>M</x:v>
      </x:c>
      <x:c r="R141" s="18" t="str">
        <x:v>UV0825</x:v>
      </x:c>
      <x:c r="S141" s="18" t="str">
        <x:v>Pendiente de fuente específica antes de implementar</x:v>
      </x:c>
    </x:row>
    <x:row r="142" ht="64" customHeight="1">
      <x:c r="A142" s="18" t="n">
        <x:v>126</x:v>
      </x:c>
      <x:c r="B142" s="18" t="str">
        <x:v>Medidor de fortaleza de contraseña</x:v>
      </x:c>
      <x:c r="C142" s="18" t="str">
        <x:v>password checker</x:v>
      </x:c>
      <x:c r="D142" s="19" t="n">
        <x:v>60500</x:v>
      </x:c>
      <x:c r="E142" s="18" t="str">
        <x:v>Inferior a 240.000</x:v>
      </x:c>
      <x:c r="F142" s="18" t="str">
        <x:v>Reserva: NO cumple demanda autorizada</x:v>
      </x:c>
      <x:c r="G142" s="18" t="str">
        <x:v>Desarrollo</x:v>
      </x:c>
      <x:c r="H142" s="18" t="str">
        <x:v>https://tools.usefulverse.com/tools/password-strength-checker/</x:v>
      </x:c>
      <x:c r="I142" s="18" t="str">
        <x:v>Estimar resistencia con patrones, explicar debilidades y comparar alternativas localmente.</x:v>
      </x:c>
      <x:c r="J142" s="18" t="str">
        <x:v>password-generator crea contraseñas; no evalúa contraseñas existentes.</x:v>
      </x:c>
      <x:c r="K142" s="18" t="str">
        <x:v>Modelo de estimación local; no prometer tiempo real exacto de descifrado.</x:v>
      </x:c>
      <x:c r="L142" s="18" t="str">
        <x:v>Cálculo/editor/juego local propuesto</x:v>
      </x:c>
      <x:c r="M142" s="18" t="str">
        <x:v>Revisar motor, recursos y dependencias</x:v>
      </x:c>
      <x:c r="N142" s="18" t="str">
        <x:v>Interfaz en 37 idiomas; idioma no elige país ni reglas. Formatos Intl, RTL y datos/lexicón de idioma con cobertura explícita.</x:v>
      </x:c>
      <x:c r="O142" s="18" t="str">
        <x:v>global-candidates.json</x:v>
      </x:c>
      <x:c r="P142" s="18" t="str">
        <x:v>2025-10 / 2026-09</x:v>
      </x:c>
      <x:c r="Q142" s="18" t="str">
        <x:v>M</x:v>
      </x:c>
      <x:c r="R142" s="18" t="str">
        <x:v>UV0826</x:v>
      </x:c>
      <x:c r="S142" s="18" t="str">
        <x:v>Pendiente de fuente específica antes de implementar</x:v>
      </x:c>
    </x:row>
    <x:row r="143" ht="64" customHeight="1">
      <x:c r="A143" s="18" t="n">
        <x:v>127</x:v>
      </x:c>
      <x:c r="B143" s="18" t="str">
        <x:v>Contador de dhikr</x:v>
      </x:c>
      <x:c r="C143" s="18" t="str">
        <x:v>tasbih counter</x:v>
      </x:c>
      <x:c r="D143" s="19" t="n">
        <x:v>60500</x:v>
      </x:c>
      <x:c r="E143" s="18" t="str">
        <x:v>Inferior a 240.000</x:v>
      </x:c>
      <x:c r="F143" s="18" t="str">
        <x:v>Reserva: NO cumple demanda autorizada</x:v>
      </x:c>
      <x:c r="G143" s="18" t="str">
        <x:v>Vida</x:v>
      </x:c>
      <x:c r="H143" s="18" t="str">
        <x:v>https://tools.usefulverse.com/tools/prayer-beads-counter/</x:v>
      </x:c>
      <x:c r="I143" s="18" t="str">
        <x:v>Contar repeticiones con metas, vibración opcional y guardado local.</x:v>
      </x:c>
      <x:c r="J143" s="18" t="str">
        <x:v>online-timer mide tiempo; no registra ciclos de recitación y conteos.</x:v>
      </x:c>
      <x:c r="K143" s="18" t="str">
        <x:v>Sin cuentas ni recolección de creencias; textos opcionales con fuente.</x:v>
      </x:c>
      <x:c r="L143" s="18" t="str">
        <x:v>Cálculo/editor/juego local propuesto</x:v>
      </x:c>
      <x:c r="M143" s="18" t="str">
        <x:v>Revisar motor, recursos y dependencias</x:v>
      </x:c>
      <x:c r="N143" s="18" t="str">
        <x:v>Interfaz en 37 idiomas; idioma no elige país ni reglas. Formatos Intl, RTL y datos/lexicón de idioma con cobertura explícita.</x:v>
      </x:c>
      <x:c r="O143" s="18" t="str">
        <x:v>global-candidates.json</x:v>
      </x:c>
      <x:c r="P143" s="18" t="str">
        <x:v>2025-10 / 2026-09</x:v>
      </x:c>
      <x:c r="Q143" s="18" t="str">
        <x:v>M</x:v>
      </x:c>
      <x:c r="R143" s="18" t="str">
        <x:v>UV0827</x:v>
      </x:c>
      <x:c r="S143" s="18" t="str">
        <x:v>Pendiente de fuente específica antes de implementar</x:v>
      </x:c>
    </x:row>
    <x:row r="144" ht="64" customHeight="1">
      <x:c r="A144" s="18" t="n">
        <x:v>128</x:v>
      </x:c>
      <x:c r="B144" s="18" t="str">
        <x:v>Curvas ROC y clasificación</x:v>
      </x:c>
      <x:c r="C144" s="18" t="str">
        <x:v>roc curve</x:v>
      </x:c>
      <x:c r="D144" s="19" t="n">
        <x:v>60500</x:v>
      </x:c>
      <x:c r="E144" s="18" t="str">
        <x:v>Inferior a 240.000</x:v>
      </x:c>
      <x:c r="F144" s="18" t="str">
        <x:v>Reserva: NO cumple demanda autorizada</x:v>
      </x:c>
      <x:c r="G144" s="18" t="str">
        <x:v>Ciencia</x:v>
      </x:c>
      <x:c r="H144" s="18" t="str">
        <x:v>https://tools.usefulverse.com/tools/roc-curve-calculator/</x:v>
      </x:c>
      <x:c r="I144" s="18" t="str">
        <x:v>Comparar puntuaciones y etiquetas, calcular ROC, AUC y umbrales.</x:v>
      </x:c>
      <x:c r="J144" s="18" t="str">
        <x:v>a-b-test-calculator compara grupos; no evalúa un clasificador por umbrales.</x:v>
      </x:c>
      <x:c r="K144" s="18" t="str">
        <x:v>Datos locales y advertencias por desbalance y validación.</x:v>
      </x:c>
      <x:c r="L144" s="18" t="str">
        <x:v>Cálculo/editor/juego local propuesto</x:v>
      </x:c>
      <x:c r="M144" s="18" t="str">
        <x:v>Revisar motor, recursos y dependencias</x:v>
      </x:c>
      <x:c r="N144" s="18" t="str">
        <x:v>Interfaz en 37 idiomas; idioma no elige país ni reglas. Formatos Intl, RTL y datos/lexicón de idioma con cobertura explícita.</x:v>
      </x:c>
      <x:c r="O144" s="18" t="str">
        <x:v>global-candidates.json</x:v>
      </x:c>
      <x:c r="P144" s="18" t="str">
        <x:v>2025-10 / 2026-09</x:v>
      </x:c>
      <x:c r="Q144" s="18" t="str">
        <x:v>M</x:v>
      </x:c>
      <x:c r="R144" s="18" t="str">
        <x:v>UV0828</x:v>
      </x:c>
      <x:c r="S144" s="18" t="str">
        <x:v>Pendiente de fuente específica antes de implementar</x:v>
      </x:c>
    </x:row>
    <x:row r="145" ht="64" customHeight="1">
      <x:c r="A145" s="18" t="n">
        <x:v>129</x:v>
      </x:c>
      <x:c r="B145" s="18" t="str">
        <x:v>Finiquito de España</x:v>
      </x:c>
      <x:c r="C145" s="18" t="str">
        <x:v>calculadora finiquito</x:v>
      </x:c>
      <x:c r="D145" s="19" t="n">
        <x:v>60500</x:v>
      </x:c>
      <x:c r="E145" s="18" t="str">
        <x:v>Inferior a 240.000</x:v>
      </x:c>
      <x:c r="F145" s="18" t="str">
        <x:v>Reserva: NO cumple demanda autorizada</x:v>
      </x:c>
      <x:c r="G145" s="18" t="str">
        <x:v>Finanzas</x:v>
      </x:c>
      <x:c r="H145" s="18" t="str">
        <x:v>https://tools.usefulverse.com/tools/spain-termination-pay/</x:v>
      </x:c>
      <x:c r="I145" s="18" t="str">
        <x:v>Desglosar salario pendiente, pagas, vacaciones e indemnización según causa y contrato.</x:v>
      </x:c>
      <x:c r="J145" s="18" t="str">
        <x:v>severance-pay-calculator calcula indemnización genérica, no liquidación laboral completa española.</x:v>
      </x:c>
      <x:c r="K145" s="18" t="str">
        <x:v>Estatuto y convenios aportados; no dar asesoría legal vinculante.</x:v>
      </x:c>
      <x:c r="L145" s="18" t="str">
        <x:v>Cálculo/editor/juego local propuesto</x:v>
      </x:c>
      <x:c r="M145" s="18" t="str">
        <x:v>Alta: normativa y tablas por ejercicio</x:v>
      </x:c>
      <x:c r="N145" s="18" t="str">
        <x:v>Interfaz en 37 idiomas; idioma no elige país ni reglas. Jurisdicción y año visibles; fuentes oficiales del país.</x:v>
      </x:c>
      <x:c r="O145" s="18" t="str">
        <x:v>global-candidates.json</x:v>
      </x:c>
      <x:c r="P145" s="18" t="str">
        <x:v>2025-10 / 2026-09</x:v>
      </x:c>
      <x:c r="Q145" s="18" t="str">
        <x:v>L</x:v>
      </x:c>
      <x:c r="R145" s="18" t="str">
        <x:v>UV0829</x:v>
      </x:c>
      <x:c r="S145" s="18" t="str">
        <x:v>Pendiente de fuente específica antes de implementar</x:v>
      </x:c>
    </x:row>
    <x:row r="146" ht="64" customHeight="1">
      <x:c r="A146" s="18" t="n">
        <x:v>130</x:v>
      </x:c>
      <x:c r="B146" s="18" t="str">
        <x:v>Batalla de tanques</x:v>
      </x:c>
      <x:c r="C146" s="18" t="str">
        <x:v>tank games</x:v>
      </x:c>
      <x:c r="D146" s="19" t="n">
        <x:v>60500</x:v>
      </x:c>
      <x:c r="E146" s="18" t="str">
        <x:v>Inferior a 240.000</x:v>
      </x:c>
      <x:c r="F146" s="18" t="str">
        <x:v>Reserva: NO cumple demanda autorizada</x:v>
      </x:c>
      <x:c r="G146" s="18" t="str">
        <x:v>Juegos</x:v>
      </x:c>
      <x:c r="H146" s="18" t="str">
        <x:v>https://tools.usefulverse.com/tools/tank-game/</x:v>
      </x:c>
      <x:c r="I146" s="18" t="str">
        <x:v>Mover un tanque, usar coberturas y destruir objetivos con CPU local.</x:v>
      </x:c>
      <x:c r="J146" s="18" t="str">
        <x:v>space-shooter permite vuelo; este juego depende de terreno y coberturas destructibles.</x:v>
      </x:c>
      <x:c r="K146" s="18" t="str">
        <x:v>Gráficos propios y sin multijugador alojado.</x:v>
      </x:c>
      <x:c r="L146" s="18" t="str">
        <x:v>Cálculo/editor/juego local propuesto</x:v>
      </x:c>
      <x:c r="M146" s="18" t="str">
        <x:v>Revisar motor, recursos y dependencias</x:v>
      </x:c>
      <x:c r="N146" s="18" t="str">
        <x:v>Interfaz en 37 idiomas; idioma no elige país ni reglas. Reglas y variante elegibles; ayudas claras y arte propio.</x:v>
      </x:c>
      <x:c r="O146" s="18" t="str">
        <x:v>global-candidates.json</x:v>
      </x:c>
      <x:c r="P146" s="18" t="str">
        <x:v>2025-10 / 2026-09</x:v>
      </x:c>
      <x:c r="Q146" s="18" t="str">
        <x:v>M</x:v>
      </x:c>
      <x:c r="R146" s="18" t="str">
        <x:v>UV0830</x:v>
      </x:c>
      <x:c r="S146" s="18" t="str">
        <x:v>Pendiente de fuente específica antes de implementar</x:v>
      </x:c>
    </x:row>
    <x:row r="147" ht="64" customHeight="1">
      <x:c r="A147" s="18" t="n">
        <x:v>131</x:v>
      </x:c>
      <x:c r="B147" s="18" t="str">
        <x:v>Ajedrez chino Xiangqi</x:v>
      </x:c>
      <x:c r="C147" s="18" t="str">
        <x:v>象棋</x:v>
      </x:c>
      <x:c r="D147" s="19" t="n">
        <x:v>60500</x:v>
      </x:c>
      <x:c r="E147" s="18" t="str">
        <x:v>Inferior a 240.000</x:v>
      </x:c>
      <x:c r="F147" s="18" t="str">
        <x:v>Reserva: NO cumple demanda autorizada</x:v>
      </x:c>
      <x:c r="G147" s="18" t="str">
        <x:v>Juegos</x:v>
      </x:c>
      <x:c r="H147" s="18" t="str">
        <x:v>https://tools.usefulverse.com/tools/xiangqi/</x:v>
      </x:c>
      <x:c r="I147" s="18" t="str">
        <x:v>Jugar con río, palacios, cañones y reglas legales de Xiangqi.</x:v>
      </x:c>
      <x:c r="J147" s="18" t="str">
        <x:v>chess-game usa ajedrez internacional; piezas y reglas son distintas.</x:v>
      </x:c>
      <x:c r="K147" s="18" t="str">
        <x:v>Motor local y ayuda de reglas en todos los idiomas de interfaz.</x:v>
      </x:c>
      <x:c r="L147" s="18" t="str">
        <x:v>Cálculo/editor/juego local propuesto</x:v>
      </x:c>
      <x:c r="M147" s="18" t="str">
        <x:v>Revisar motor, recursos y dependencias</x:v>
      </x:c>
      <x:c r="N147" s="18" t="str">
        <x:v>Interfaz en 37 idiomas; idioma no elige país ni reglas. Reglas y variante elegibles; ayudas claras y arte propio.</x:v>
      </x:c>
      <x:c r="O147" s="18" t="str">
        <x:v>global-candidates.json</x:v>
      </x:c>
      <x:c r="P147" s="18" t="str">
        <x:v>2025-10 / 2026-09</x:v>
      </x:c>
      <x:c r="Q147" s="18" t="str">
        <x:v>M</x:v>
      </x:c>
      <x:c r="R147" s="18" t="str">
        <x:v>UV0831</x:v>
      </x:c>
      <x:c r="S147" s="18" t="str">
        <x:v>Pendiente de fuente específica antes de implementar</x:v>
      </x:c>
    </x:row>
    <x:row r="148" ht="64" customHeight="1">
      <x:c r="A148" s="18" t="n">
        <x:v>132</x:v>
      </x:c>
      <x:c r="B148" s="18" t="str">
        <x:v>Renta de Australia</x:v>
      </x:c>
      <x:c r="C148" s="18" t="str">
        <x:v>tax calculator australia</x:v>
      </x:c>
      <x:c r="D148" s="19" t="n">
        <x:v>49500</x:v>
      </x:c>
      <x:c r="E148" s="18" t="str">
        <x:v>Inferior a 240.000</x:v>
      </x:c>
      <x:c r="F148" s="18" t="str">
        <x:v>Reserva: NO cumple demanda autorizada</x:v>
      </x:c>
      <x:c r="G148" s="18" t="str">
        <x:v>Finanzas</x:v>
      </x:c>
      <x:c r="H148" s="18" t="str">
        <x:v>https://tools.usefulverse.com/tools/australia-income-tax/</x:v>
      </x:c>
      <x:c r="I148" s="18" t="str">
        <x:v>Estimar impuesto, Medicare y ajustes soportados con residencia fiscal y ejercicio.</x:v>
      </x:c>
      <x:c r="J148" s="18" t="str">
        <x:v>tax-calculator no modela tipos progresivos ni Medicare.</x:v>
      </x:c>
      <x:c r="K148" s="18" t="str">
        <x:v>ATO y reglas de residencia, HELP por perfil si se incluye.</x:v>
      </x:c>
      <x:c r="L148" s="18" t="str">
        <x:v>Cálculo/editor/juego local propuesto</x:v>
      </x:c>
      <x:c r="M148" s="18" t="str">
        <x:v>Alta: normativa y tablas por ejercicio</x:v>
      </x:c>
      <x:c r="N148" s="18" t="str">
        <x:v>Interfaz en 37 idiomas; idioma no elige país ni reglas. Jurisdicción y año visibles; fuentes oficiales del país.</x:v>
      </x:c>
      <x:c r="O148" s="18" t="str">
        <x:v>global-candidates.json</x:v>
      </x:c>
      <x:c r="P148" s="18" t="str">
        <x:v>2025-10 / 2026-09</x:v>
      </x:c>
      <x:c r="Q148" s="18" t="str">
        <x:v>L</x:v>
      </x:c>
      <x:c r="R148" s="18" t="str">
        <x:v>UV0832</x:v>
      </x:c>
      <x:c r="S148" s="18" t="str">
        <x:v>Pendiente de fuente específica antes de implementar</x:v>
      </x:c>
    </x:row>
    <x:row r="149" ht="64" customHeight="1">
      <x:c r="A149" s="18" t="n">
        <x:v>133</x:v>
      </x:c>
      <x:c r="B149" s="18" t="str">
        <x:v>Nivel de burbuja digital</x:v>
      </x:c>
      <x:c r="C149" s="18" t="str">
        <x:v>bubble level</x:v>
      </x:c>
      <x:c r="D149" s="19" t="n">
        <x:v>49500</x:v>
      </x:c>
      <x:c r="E149" s="18" t="str">
        <x:v>Inferior a 240.000</x:v>
      </x:c>
      <x:c r="F149" s="18" t="str">
        <x:v>Reserva: NO cumple demanda autorizada</x:v>
      </x:c>
      <x:c r="G149" s="18" t="str">
        <x:v>Vida</x:v>
      </x:c>
      <x:c r="H149" s="18" t="str">
        <x:v>https://tools.usefulverse.com/tools/bubble-level/</x:v>
      </x:c>
      <x:c r="I149" s="18" t="str">
        <x:v>Medir inclinación del dispositivo con calibración y referencias horizontal y vertical.</x:v>
      </x:c>
      <x:c r="J149" s="18" t="str">
        <x:v>protractor construye dos rayos manuales; no mide inclinación con sensores.</x:v>
      </x:c>
      <x:c r="K149" s="18" t="str">
        <x:v>Permisos de orientación y precisión del dispositivo, sin uso de metrología certificada.</x:v>
      </x:c>
      <x:c r="L149" s="18" t="str">
        <x:v>Cálculo/editor/juego local propuesto</x:v>
      </x:c>
      <x:c r="M149" s="18" t="str">
        <x:v>Revisar motor, recursos y dependencias</x:v>
      </x:c>
      <x:c r="N149" s="18" t="str">
        <x:v>Interfaz en 37 idiomas; idioma no elige país ni reglas. Formatos Intl, RTL y datos/lexicón de idioma con cobertura explícita.</x:v>
      </x:c>
      <x:c r="O149" s="18" t="str">
        <x:v>global-extras.json</x:v>
      </x:c>
      <x:c r="P149" s="18" t="str">
        <x:v>2025-10 / 2026-09</x:v>
      </x:c>
      <x:c r="Q149" s="18" t="str">
        <x:v>M</x:v>
      </x:c>
      <x:c r="R149" s="18" t="str">
        <x:v>UV0833</x:v>
      </x:c>
      <x:c r="S149" s="18" t="str">
        <x:v>Pendiente de fuente específica antes de implementar</x:v>
      </x:c>
    </x:row>
    <x:row r="150" ht="64" customHeight="1">
      <x:c r="A150" s="18" t="n">
        <x:v>134</x:v>
      </x:c>
      <x:c r="B150" s="18" t="str">
        <x:v>Animador fotograma a fotograma</x:v>
      </x:c>
      <x:c r="C150" s="18" t="str">
        <x:v>animation maker</x:v>
      </x:c>
      <x:c r="D150" s="19" t="n">
        <x:v>49500</x:v>
      </x:c>
      <x:c r="E150" s="18" t="str">
        <x:v>Inferior a 240.000</x:v>
      </x:c>
      <x:c r="F150" s="18" t="str">
        <x:v>Reserva: NO cumple demanda autorizada</x:v>
      </x:c>
      <x:c r="G150" s="18" t="str">
        <x:v>Creatividad</x:v>
      </x:c>
      <x:c r="H150" s="18" t="str">
        <x:v>https://tools.usefulverse.com/tools/flipbook-animator/</x:v>
      </x:c>
      <x:c r="I150" s="18" t="str">
        <x:v>Dibujar fotogramas con papel cebolla, temporizar y exportar una animación.</x:v>
      </x:c>
      <x:c r="J150" s="18" t="str">
        <x:v>gif-maker une imágenes existentes; no dibuja ni edita la animación por fotogramas.</x:v>
      </x:c>
      <x:c r="K150" s="18" t="str">
        <x:v>Canvas local y exportación con duración y memoria acotadas.</x:v>
      </x:c>
      <x:c r="L150" s="18" t="str">
        <x:v>Cálculo/editor/juego local propuesto</x:v>
      </x:c>
      <x:c r="M150" s="18" t="str">
        <x:v>Revisar motor, recursos y dependencias</x:v>
      </x:c>
      <x:c r="N150" s="18" t="str">
        <x:v>Interfaz en 37 idiomas; idioma no elige país ni reglas. Formatos Intl, RTL y datos/lexicón de idioma con cobertura explícita.</x:v>
      </x:c>
      <x:c r="O150" s="18" t="str">
        <x:v>global-candidates.json</x:v>
      </x:c>
      <x:c r="P150" s="18" t="str">
        <x:v>2025-10 / 2026-09</x:v>
      </x:c>
      <x:c r="Q150" s="18" t="str">
        <x:v>M</x:v>
      </x:c>
      <x:c r="R150" s="18" t="str">
        <x:v>UV0834</x:v>
      </x:c>
      <x:c r="S150" s="18" t="str">
        <x:v>Pendiente de fuente específica antes de implementar</x:v>
      </x:c>
    </x:row>
    <x:row r="151" ht="64" customHeight="1">
      <x:c r="A151" s="18" t="n">
        <x:v>135</x:v>
      </x:c>
      <x:c r="B151" s="18" t="str">
        <x:v>Equilibrio de Hardy–Weinberg</x:v>
      </x:c>
      <x:c r="C151" s="18" t="str">
        <x:v>hardy weinberg equilibrium</x:v>
      </x:c>
      <x:c r="D151" s="19" t="n">
        <x:v>49500</x:v>
      </x:c>
      <x:c r="E151" s="18" t="str">
        <x:v>Inferior a 240.000</x:v>
      </x:c>
      <x:c r="F151" s="18" t="str">
        <x:v>Reserva: NO cumple demanda autorizada</x:v>
      </x:c>
      <x:c r="G151" s="18" t="str">
        <x:v>Ciencia</x:v>
      </x:c>
      <x:c r="H151" s="18" t="str">
        <x:v>https://tools.usefulverse.com/tools/hardy-weinberg-calculator/</x:v>
      </x:c>
      <x:c r="I151" s="18" t="str">
        <x:v>Resolver frecuencias alélicas y genotípicas con hipótesis visibles.</x:v>
      </x:c>
      <x:c r="J151" s="18" t="str">
        <x:v>genetic-cross-calculator modela un cruce, no frecuencias poblacionales en equilibrio.</x:v>
      </x:c>
      <x:c r="K151" s="18" t="str">
        <x:v>Modelo educativo y supuestos obligatorios.</x:v>
      </x:c>
      <x:c r="L151" s="18" t="str">
        <x:v>Cálculo/editor/juego local propuesto</x:v>
      </x:c>
      <x:c r="M151" s="18" t="str">
        <x:v>Revisar motor, recursos y dependencias</x:v>
      </x:c>
      <x:c r="N151" s="18" t="str">
        <x:v>Interfaz en 37 idiomas; idioma no elige país ni reglas. Formatos Intl, RTL y datos/lexicón de idioma con cobertura explícita.</x:v>
      </x:c>
      <x:c r="O151" s="18" t="str">
        <x:v>global-candidates.json</x:v>
      </x:c>
      <x:c r="P151" s="18" t="str">
        <x:v>2025-10 / 2026-09</x:v>
      </x:c>
      <x:c r="Q151" s="18" t="str">
        <x:v>M</x:v>
      </x:c>
      <x:c r="R151" s="18" t="str">
        <x:v>UV0835</x:v>
      </x:c>
      <x:c r="S151" s="18" t="str">
        <x:v>Pendiente de fuente específica antes de implementar</x:v>
      </x:c>
    </x:row>
    <x:row r="152" ht="64" customHeight="1">
      <x:c r="A152" s="18" t="n">
        <x:v>136</x:v>
      </x:c>
      <x:c r="B152" s="18" t="str">
        <x:v>Atal Pension Yojana de India</x:v>
      </x:c>
      <x:c r="C152" s="18" t="str">
        <x:v>apy calculator</x:v>
      </x:c>
      <x:c r="D152" s="19" t="n">
        <x:v>49500</x:v>
      </x:c>
      <x:c r="E152" s="18" t="str">
        <x:v>Inferior a 240.000</x:v>
      </x:c>
      <x:c r="F152" s="18" t="str">
        <x:v>Reserva: NO cumple demanda autorizada</x:v>
      </x:c>
      <x:c r="G152" s="18" t="str">
        <x:v>Finanzas</x:v>
      </x:c>
      <x:c r="H152" s="18" t="str">
        <x:v>https://tools.usefulverse.com/tools/india-apy-calculator/</x:v>
      </x:c>
      <x:c r="I152" s="18" t="str">
        <x:v>Comparar cuota por edad de entrada y pensión objetivo con tabla oficial.</x:v>
      </x:c>
      <x:c r="J152" s="18" t="str">
        <x:v>annuity-calculator aplica valor temporal genérico; APY depende de una tabla regulada.</x:v>
      </x:c>
      <x:c r="K152" s="18" t="str">
        <x:v>Tabla autorizada y fecha de vigencia.</x:v>
      </x:c>
      <x:c r="L152" s="18" t="str">
        <x:v>Cálculo/editor/juego local propuesto</x:v>
      </x:c>
      <x:c r="M152" s="18" t="str">
        <x:v>Alta: normativa y tablas por ejercicio</x:v>
      </x:c>
      <x:c r="N152" s="18" t="str">
        <x:v>Interfaz en 37 idiomas; idioma no elige país ni reglas. Jurisdicción y año visibles; fuentes oficiales del país.</x:v>
      </x:c>
      <x:c r="O152" s="18" t="str">
        <x:v>global-candidates.json</x:v>
      </x:c>
      <x:c r="P152" s="18" t="str">
        <x:v>2025-10 / 2026-09</x:v>
      </x:c>
      <x:c r="Q152" s="18" t="str">
        <x:v>L</x:v>
      </x:c>
      <x:c r="R152" s="18" t="str">
        <x:v>UV0836</x:v>
      </x:c>
      <x:c r="S152" s="18" t="str">
        <x:v>Pendiente de fuente específica antes de implementar</x:v>
      </x:c>
    </x:row>
    <x:row r="153" ht="64" customHeight="1">
      <x:c r="A153" s="18" t="n">
        <x:v>137</x:v>
      </x:c>
      <x:c r="B153" s="18" t="str">
        <x:v>Employee Provident Fund de India</x:v>
      </x:c>
      <x:c r="C153" s="18" t="str">
        <x:v>epf calculator</x:v>
      </x:c>
      <x:c r="D153" s="19" t="n">
        <x:v>49500</x:v>
      </x:c>
      <x:c r="E153" s="18" t="str">
        <x:v>Inferior a 240.000</x:v>
      </x:c>
      <x:c r="F153" s="18" t="str">
        <x:v>Reserva: NO cumple demanda autorizada</x:v>
      </x:c>
      <x:c r="G153" s="18" t="str">
        <x:v>Finanzas</x:v>
      </x:c>
      <x:c r="H153" s="18" t="str">
        <x:v>https://tools.usefulverse.com/tools/india-epf-calculator/</x:v>
      </x:c>
      <x:c r="I153" s="18" t="str">
        <x:v>Separar aportaciones de empleado, empleador y EPS y estimar EPF según reglas.</x:v>
      </x:c>
      <x:c r="J153" s="18" t="str">
        <x:v>401k-calculator corresponde a otro sistema, no desglosa EPF/EPS.</x:v>
      </x:c>
      <x:c r="K153" s="18" t="str">
        <x:v>Reglas EPFO vigentes y tasa anual explicitada.</x:v>
      </x:c>
      <x:c r="L153" s="18" t="str">
        <x:v>Cálculo/editor/juego local propuesto</x:v>
      </x:c>
      <x:c r="M153" s="18" t="str">
        <x:v>Alta: normativa y tablas por ejercicio</x:v>
      </x:c>
      <x:c r="N153" s="18" t="str">
        <x:v>Interfaz en 37 idiomas; idioma no elige país ni reglas. Jurisdicción y año visibles; fuentes oficiales del país.</x:v>
      </x:c>
      <x:c r="O153" s="18" t="str">
        <x:v>global-candidates.json</x:v>
      </x:c>
      <x:c r="P153" s="18" t="str">
        <x:v>2025-10 / 2026-09</x:v>
      </x:c>
      <x:c r="Q153" s="18" t="str">
        <x:v>L</x:v>
      </x:c>
      <x:c r="R153" s="18" t="str">
        <x:v>UV0837</x:v>
      </x:c>
      <x:c r="S153" s="18" t="str">
        <x:v>Pendiente de fuente específica antes de implementar</x:v>
      </x:c>
    </x:row>
    <x:row r="154" ht="64" customHeight="1">
      <x:c r="A154" s="18" t="n">
        <x:v>138</x:v>
      </x:c>
      <x:c r="B154" s="18" t="str">
        <x:v>Mapa del cielo</x:v>
      </x:c>
      <x:c r="C154" s="18" t="str">
        <x:v>star map</x:v>
      </x:c>
      <x:c r="D154" s="19" t="n">
        <x:v>49500</x:v>
      </x:c>
      <x:c r="E154" s="18" t="str">
        <x:v>Inferior a 240.000</x:v>
      </x:c>
      <x:c r="F154" s="18" t="str">
        <x:v>Reserva: NO cumple demanda autorizada</x:v>
      </x:c>
      <x:c r="G154" s="18" t="str">
        <x:v>Ciencia</x:v>
      </x:c>
      <x:c r="H154" s="18" t="str">
        <x:v>https://tools.usefulverse.com/tools/sky-map/</x:v>
      </x:c>
      <x:c r="I154" s="18" t="str">
        <x:v>Representar estrellas y planetas para fecha y ubicación elegidas y buscar objetos.</x:v>
      </x:c>
      <x:c r="J154" s="18" t="str">
        <x:v>moon-phase-calculator y sunrise-sunset-calculator dan eventos, no un mapa celeste.</x:v>
      </x:c>
      <x:c r="K154" s="18" t="str">
        <x:v>Catálogo abierto y efemérides con licencia; ubicación manual alternativa.</x:v>
      </x:c>
      <x:c r="L154" s="18" t="str">
        <x:v>Cálculo/editor/juego local propuesto</x:v>
      </x:c>
      <x:c r="M154" s="18" t="str">
        <x:v>Revisar motor, recursos y dependencias</x:v>
      </x:c>
      <x:c r="N154" s="18" t="str">
        <x:v>Interfaz en 37 idiomas; idioma no elige país ni reglas. Formatos Intl, RTL y datos/lexicón de idioma con cobertura explícita.</x:v>
      </x:c>
      <x:c r="O154" s="18" t="str">
        <x:v>global-candidates.json</x:v>
      </x:c>
      <x:c r="P154" s="18" t="str">
        <x:v>2025-10 / 2026-09</x:v>
      </x:c>
      <x:c r="Q154" s="18" t="str">
        <x:v>M</x:v>
      </x:c>
      <x:c r="R154" s="18" t="str">
        <x:v>UV0838</x:v>
      </x:c>
      <x:c r="S154" s="18" t="str">
        <x:v>Pendiente de fuente específica antes de implementar</x:v>
      </x:c>
    </x:row>
    <x:row r="155" ht="64" customHeight="1">
      <x:c r="A155" s="18" t="n">
        <x:v>139</x:v>
      </x:c>
      <x:c r="B155" s="18" t="str">
        <x:v>Escala de somnolencia</x:v>
      </x:c>
      <x:c r="C155" s="18" t="str">
        <x:v>epworth sleepiness scale</x:v>
      </x:c>
      <x:c r="D155" s="19" t="n">
        <x:v>49500</x:v>
      </x:c>
      <x:c r="E155" s="18" t="str">
        <x:v>Inferior a 240.000</x:v>
      </x:c>
      <x:c r="F155" s="18" t="str">
        <x:v>Reserva: NO cumple demanda autorizada</x:v>
      </x:c>
      <x:c r="G155" s="18" t="str">
        <x:v>Bienestar</x:v>
      </x:c>
      <x:c r="H155" s="18" t="str">
        <x:v>https://tools.usefulverse.com/tools/sleepiness-questionnaire/</x:v>
      </x:c>
      <x:c r="I155" s="18" t="str">
        <x:v>Responder una escala autorizada y explicar somnolencia y consulta profesional.</x:v>
      </x:c>
      <x:c r="J155" s="18" t="str">
        <x:v>sleep-calculator estima horarios; sleep-debt-calculator calcula diferencias de horas.</x:v>
      </x:c>
      <x:c r="K155" s="18" t="str">
        <x:v>Licencia de Epworth u otro instrumento: no asumir gratuidad comercial.</x:v>
      </x:c>
      <x:c r="L155" s="18" t="str">
        <x:v>Cálculo/editor/juego local propuesto</x:v>
      </x:c>
      <x:c r="M155" s="18" t="str">
        <x:v>Revisar motor, recursos y dependencias</x:v>
      </x:c>
      <x:c r="N155" s="18" t="str">
        <x:v>Interfaz en 37 idiomas; idioma no elige país ni reglas. Formatos Intl, RTL y datos/lexicón de idioma con cobertura explícita.</x:v>
      </x:c>
      <x:c r="O155" s="18" t="str">
        <x:v>global-candidates.json</x:v>
      </x:c>
      <x:c r="P155" s="18" t="str">
        <x:v>2025-10 / 2026-09</x:v>
      </x:c>
      <x:c r="Q155" s="18" t="str">
        <x:v>L</x:v>
      </x:c>
      <x:c r="R155" s="18" t="str">
        <x:v>UV0839</x:v>
      </x:c>
      <x:c r="S155" s="18" t="str">
        <x:v>Pendiente de fuente específica antes de implementar</x:v>
      </x:c>
    </x:row>
    <x:row r="156" ht="64" customHeight="1">
      <x:c r="A156" s="18" t="n">
        <x:v>140</x:v>
      </x:c>
      <x:c r="B156" s="18" t="str">
        <x:v>IRPF de España</x:v>
      </x:c>
      <x:c r="C156" s="18" t="str">
        <x:v>calculadora irpf</x:v>
      </x:c>
      <x:c r="D156" s="19" t="n">
        <x:v>49500</x:v>
      </x:c>
      <x:c r="E156" s="18" t="str">
        <x:v>Inferior a 240.000</x:v>
      </x:c>
      <x:c r="F156" s="18" t="str">
        <x:v>Reserva: NO cumple demanda autorizada</x:v>
      </x:c>
      <x:c r="G156" s="18" t="str">
        <x:v>Finanzas</x:v>
      </x:c>
      <x:c r="H156" s="18" t="str">
        <x:v>https://tools.usefulverse.com/tools/spain-income-tax/</x:v>
      </x:c>
      <x:c r="I156" s="18" t="str">
        <x:v>Estimar cuota estatal y autonómica con base, mínimos y deducciones soportadas.</x:v>
      </x:c>
      <x:c r="J156" s="18" t="str">
        <x:v>tax-calculator no implementa IRPF progresivo y reglas autonómicas.</x:v>
      </x:c>
      <x:c r="K156" s="18" t="str">
        <x:v>Agencia Tributaria y comunidades, ejercicio explícito.</x:v>
      </x:c>
      <x:c r="L156" s="18" t="str">
        <x:v>Cálculo/editor/juego local propuesto</x:v>
      </x:c>
      <x:c r="M156" s="18" t="str">
        <x:v>Alta: normativa y tablas por ejercicio</x:v>
      </x:c>
      <x:c r="N156" s="18" t="str">
        <x:v>Interfaz en 37 idiomas; idioma no elige país ni reglas. Jurisdicción y año visibles; fuentes oficiales del país.</x:v>
      </x:c>
      <x:c r="O156" s="18" t="str">
        <x:v>global-candidates.json</x:v>
      </x:c>
      <x:c r="P156" s="18" t="str">
        <x:v>2025-10 / 2026-09</x:v>
      </x:c>
      <x:c r="Q156" s="18" t="str">
        <x:v>L</x:v>
      </x:c>
      <x:c r="R156" s="18" t="str">
        <x:v>UV0840</x:v>
      </x:c>
      <x:c r="S156" s="18" t="str">
        <x:v>Pendiente de fuente específica antes de implementar</x:v>
      </x:c>
    </x:row>
    <x:row r="157" ht="64" customHeight="1">
      <x:c r="A157" s="18" t="n">
        <x:v>141</x:v>
      </x:c>
      <x:c r="B157" s="18" t="str">
        <x:v>Comprobador de pantalla táctil</x:v>
      </x:c>
      <x:c r="C157" s="18" t="str">
        <x:v>touch screen test</x:v>
      </x:c>
      <x:c r="D157" s="19" t="n">
        <x:v>49500</x:v>
      </x:c>
      <x:c r="E157" s="18" t="str">
        <x:v>Inferior a 240.000</x:v>
      </x:c>
      <x:c r="F157" s="18" t="str">
        <x:v>Reserva: NO cumple demanda autorizada</x:v>
      </x:c>
      <x:c r="G157" s="18" t="str">
        <x:v>Desarrollo</x:v>
      </x:c>
      <x:c r="H157" s="18" t="str">
        <x:v>https://tools.usefulverse.com/tools/touchscreen-tester/</x:v>
      </x:c>
      <x:c r="I157" s="18" t="str">
        <x:v>Visualizar puntos simultáneos, trazos y áreas que no responden.</x:v>
      </x:c>
      <x:c r="J157" s="18" t="str">
        <x:v>display-pixel-test comprueba color; no eventos táctiles ni multitoque.</x:v>
      </x:c>
      <x:c r="K157" s="18" t="str">
        <x:v>Pointer Events local, sin certificar funcionamiento de hardware completo.</x:v>
      </x:c>
      <x:c r="L157" s="18" t="str">
        <x:v>Cálculo/editor/juego local propuesto</x:v>
      </x:c>
      <x:c r="M157" s="18" t="str">
        <x:v>Revisar motor, recursos y dependencias</x:v>
      </x:c>
      <x:c r="N157" s="18" t="str">
        <x:v>Interfaz en 37 idiomas; idioma no elige país ni reglas. Formatos Intl, RTL y datos/lexicón de idioma con cobertura explícita.</x:v>
      </x:c>
      <x:c r="O157" s="18" t="str">
        <x:v>global-candidates.json</x:v>
      </x:c>
      <x:c r="P157" s="18" t="str">
        <x:v>2025-10 / 2026-09</x:v>
      </x:c>
      <x:c r="Q157" s="18" t="str">
        <x:v>M</x:v>
      </x:c>
      <x:c r="R157" s="18" t="str">
        <x:v>UV0841</x:v>
      </x:c>
      <x:c r="S157" s="18" t="str">
        <x:v>Pendiente de fuente específica antes de implementar</x:v>
      </x:c>
    </x:row>
    <x:row r="158" ht="64" customHeight="1">
      <x:c r="A158" s="18" t="n">
        <x:v>142</x:v>
      </x:c>
      <x:c r="B158" s="18" t="str">
        <x:v>Transliterador entre escrituras</x:v>
      </x:c>
      <x:c r="C158" s="18" t="str">
        <x:v>transliteration</x:v>
      </x:c>
      <x:c r="D158" s="19" t="n">
        <x:v>49500</x:v>
      </x:c>
      <x:c r="E158" s="18" t="str">
        <x:v>Inferior a 240.000</x:v>
      </x:c>
      <x:c r="F158" s="18" t="str">
        <x:v>Reserva: NO cumple demanda autorizada</x:v>
      </x:c>
      <x:c r="G158" s="18" t="str">
        <x:v>Idiomas</x:v>
      </x:c>
      <x:c r="H158" s="18" t="str">
        <x:v>https://tools.usefulverse.com/tools/transliteration-tool/</x:v>
      </x:c>
      <x:c r="I158" s="18" t="str">
        <x:v>Convertir escritura entre sistemas con normas elegibles y reversibilidad indicada.</x:v>
      </x:c>
      <x:c r="J158" s="18" t="str">
        <x:v>No traduce significado ni convierte bytes a Base64.</x:v>
      </x:c>
      <x:c r="K158" s="18" t="str">
        <x:v>Tablas de normas públicas; scripts soportados explícitos.</x:v>
      </x:c>
      <x:c r="L158" s="18" t="str">
        <x:v>Cálculo/editor/juego local propuesto</x:v>
      </x:c>
      <x:c r="M158" s="18" t="str">
        <x:v>Revisar motor, recursos y dependencias</x:v>
      </x:c>
      <x:c r="N158" s="18" t="str">
        <x:v>Interfaz en 37 idiomas; idioma no elige país ni reglas. Formatos Intl, RTL y datos/lexicón de idioma con cobertura explícita.</x:v>
      </x:c>
      <x:c r="O158" s="18" t="str">
        <x:v>global-candidates.json</x:v>
      </x:c>
      <x:c r="P158" s="18" t="str">
        <x:v>2025-10 / 2026-09</x:v>
      </x:c>
      <x:c r="Q158" s="18" t="str">
        <x:v>M</x:v>
      </x:c>
      <x:c r="R158" s="18" t="str">
        <x:v>UV0842</x:v>
      </x:c>
      <x:c r="S158" s="18" t="str">
        <x:v>Pendiente de fuente específica antes de implementar</x:v>
      </x:c>
    </x:row>
    <x:row r="159" ht="64" customHeight="1">
      <x:c r="A159" s="18" t="n">
        <x:v>143</x:v>
      </x:c>
      <x:c r="B159" s="18" t="str">
        <x:v>Universal Credit británico</x:v>
      </x:c>
      <x:c r="C159" s="18" t="str">
        <x:v>universal credit calculator</x:v>
      </x:c>
      <x:c r="D159" s="19" t="n">
        <x:v>49500</x:v>
      </x:c>
      <x:c r="E159" s="18" t="str">
        <x:v>Inferior a 240.000</x:v>
      </x:c>
      <x:c r="F159" s="18" t="str">
        <x:v>Reserva: NO cumple demanda autorizada</x:v>
      </x:c>
      <x:c r="G159" s="18" t="str">
        <x:v>Finanzas</x:v>
      </x:c>
      <x:c r="H159" s="18" t="str">
        <x:v>https://tools.usefulverse.com/tools/uk-universal-credit/</x:v>
      </x:c>
      <x:c r="I159" s="18" t="str">
        <x:v>Estimar componentes, deducciones y taper con datos del hogar y año de reglas.</x:v>
      </x:c>
      <x:c r="J159" s="18" t="str">
        <x:v>No hay cálculo de componentes de Universal Credit.</x:v>
      </x:c>
      <x:c r="K159" s="18" t="str">
        <x:v>Reglas DWP y casos soportados; datos locales, resultado orientativo.</x:v>
      </x:c>
      <x:c r="L159" s="18" t="str">
        <x:v>Cálculo/editor/juego local propuesto</x:v>
      </x:c>
      <x:c r="M159" s="18" t="str">
        <x:v>Alta: normativa y tablas por ejercicio</x:v>
      </x:c>
      <x:c r="N159" s="18" t="str">
        <x:v>Interfaz en 37 idiomas; idioma no elige país ni reglas. Jurisdicción y año visibles; fuentes oficiales del país.</x:v>
      </x:c>
      <x:c r="O159" s="18" t="str">
        <x:v>global-candidates.json</x:v>
      </x:c>
      <x:c r="P159" s="18" t="str">
        <x:v>2025-10 / 2026-09</x:v>
      </x:c>
      <x:c r="Q159" s="18" t="str">
        <x:v>L</x:v>
      </x:c>
      <x:c r="R159" s="18" t="str">
        <x:v>UV0843</x:v>
      </x:c>
      <x:c r="S159" s="18" t="str">
        <x:v>https://www.gov.uk/government/collections/rates-and-allowances-hm-revenue-and-customs</x:v>
      </x:c>
    </x:row>
    <x:row r="160" ht="64" customHeight="1">
      <x:c r="A160" s="18" t="n">
        <x:v>144</x:v>
      </x:c>
      <x:c r="B160" s="18" t="str">
        <x:v>Ajuste de retenciones W-4</x:v>
      </x:c>
      <x:c r="C160" s="18" t="str">
        <x:v>tax withholding estimator</x:v>
      </x:c>
      <x:c r="D160" s="19" t="n">
        <x:v>49500</x:v>
      </x:c>
      <x:c r="E160" s="18" t="str">
        <x:v>Inferior a 240.000</x:v>
      </x:c>
      <x:c r="F160" s="18" t="str">
        <x:v>Reserva: NO cumple demanda autorizada</x:v>
      </x:c>
      <x:c r="G160" s="18" t="str">
        <x:v>Finanzas</x:v>
      </x:c>
      <x:c r="H160" s="18" t="str">
        <x:v>https://tools.usefulverse.com/tools/us-w4-withholding/</x:v>
      </x:c>
      <x:c r="I160" s="18" t="str">
        <x:v>Estimar ajuste de W-4 con varios empleos, retenciones ya pagadas y parte del año restante.</x:v>
      </x:c>
      <x:c r="J160" s="18" t="str">
        <x:v>us-paycheck-calculator estima una nómina; aquí se ajusta retención para un objetivo anual.</x:v>
      </x:c>
      <x:c r="K160" s="18" t="str">
        <x:v>Tablas IRS y supuestos de declaración; sin presentar como formulario oficial.</x:v>
      </x:c>
      <x:c r="L160" s="18" t="str">
        <x:v>Cálculo/editor/juego local propuesto</x:v>
      </x:c>
      <x:c r="M160" s="18" t="str">
        <x:v>Alta: normativa y tablas por ejercicio</x:v>
      </x:c>
      <x:c r="N160" s="18" t="str">
        <x:v>Interfaz en 37 idiomas; idioma no elige país ni reglas. Jurisdicción y año visibles; fuentes oficiales del país.</x:v>
      </x:c>
      <x:c r="O160" s="18" t="str">
        <x:v>global-candidates.json</x:v>
      </x:c>
      <x:c r="P160" s="18" t="str">
        <x:v>2025-10 / 2026-09</x:v>
      </x:c>
      <x:c r="Q160" s="18" t="str">
        <x:v>L</x:v>
      </x:c>
      <x:c r="R160" s="18" t="str">
        <x:v>UV0844</x:v>
      </x:c>
      <x:c r="S160" s="18" t="str">
        <x:v>https://www.irs.gov/payments/tax-withholding</x:v>
      </x:c>
    </x:row>
    <x:row r="161" ht="64" customHeight="1">
      <x:c r="A161" s="18" t="n">
        <x:v>145</x:v>
      </x:c>
      <x:c r="B161" s="18" t="str">
        <x:v>Propuesta de valor</x:v>
      </x:c>
      <x:c r="C161" s="18" t="str">
        <x:v>value proposition canvas</x:v>
      </x:c>
      <x:c r="D161" s="19" t="n">
        <x:v>49500</x:v>
      </x:c>
      <x:c r="E161" s="18" t="str">
        <x:v>Inferior a 240.000</x:v>
      </x:c>
      <x:c r="F161" s="18" t="str">
        <x:v>Reserva: NO cumple demanda autorizada</x:v>
      </x:c>
      <x:c r="G161" s="18" t="str">
        <x:v>Trabajo</x:v>
      </x:c>
      <x:c r="H161" s="18" t="str">
        <x:v>https://tools.usefulverse.com/tools/value-proposition-canvas/</x:v>
      </x:c>
      <x:c r="I161" s="18" t="str">
        <x:v>Relacionar tareas del cliente, problemas y beneficios con soluciones comprobables.</x:v>
      </x:c>
      <x:c r="J161" s="18" t="str">
        <x:v>No es un generador de copy; decision-matrix no modela ajuste problema-solución.</x:v>
      </x:c>
      <x:c r="K161" s="18" t="str">
        <x:v>Diseño original y permiso de método/plantilla si procede.</x:v>
      </x:c>
      <x:c r="L161" s="18" t="str">
        <x:v>Cálculo/editor/juego local propuesto</x:v>
      </x:c>
      <x:c r="M161" s="18" t="str">
        <x:v>Revisar motor, recursos y dependencias</x:v>
      </x:c>
      <x:c r="N161" s="18" t="str">
        <x:v>Interfaz en 37 idiomas; idioma no elige país ni reglas. Formatos Intl, RTL y datos/lexicón de idioma con cobertura explícita.</x:v>
      </x:c>
      <x:c r="O161" s="18" t="str">
        <x:v>global-candidates.json</x:v>
      </x:c>
      <x:c r="P161" s="18" t="str">
        <x:v>2025-10 / 2026-09</x:v>
      </x:c>
      <x:c r="Q161" s="18" t="str">
        <x:v>M</x:v>
      </x:c>
      <x:c r="R161" s="18" t="str">
        <x:v>UV0845</x:v>
      </x:c>
      <x:c r="S161" s="18" t="str">
        <x:v>Pendiente de fuente específica antes de implementar</x:v>
      </x:c>
    </x:row>
    <x:row r="162" ht="64" customHeight="1">
      <x:c r="A162" s="18" t="n">
        <x:v>146</x:v>
      </x:c>
      <x:c r="B162" s="18" t="str">
        <x:v>Brisca y Briscola</x:v>
      </x:c>
      <x:c r="C162" s="18" t="str">
        <x:v>briscola</x:v>
      </x:c>
      <x:c r="D162" s="19" t="n">
        <x:v>40500</x:v>
      </x:c>
      <x:c r="E162" s="18" t="str">
        <x:v>Inferior a 240.000</x:v>
      </x:c>
      <x:c r="F162" s="18" t="str">
        <x:v>Reserva: NO cumple demanda autorizada</x:v>
      </x:c>
      <x:c r="G162" s="18" t="str">
        <x:v>Juegos</x:v>
      </x:c>
      <x:c r="H162" s="18" t="str">
        <x:v>https://tools.usefulverse.com/tools/briscola/</x:v>
      </x:c>
      <x:c r="I162" s="18" t="str">
        <x:v>Jugar bazas con triunfo y valores de carta regionales contra bots.</x:v>
      </x:c>
      <x:c r="J162" s="18" t="str">
        <x:v>schafkopf-card-game y schnapsen-card-game no implementan Briscola.</x:v>
      </x:c>
      <x:c r="K162" s="18" t="str">
        <x:v>Barajas originales y variantes de dos o cuatro jugadores.</x:v>
      </x:c>
      <x:c r="L162" s="18" t="str">
        <x:v>Cálculo/editor/juego local propuesto</x:v>
      </x:c>
      <x:c r="M162" s="18" t="str">
        <x:v>Revisar motor, recursos y dependencias</x:v>
      </x:c>
      <x:c r="N162" s="18" t="str">
        <x:v>Interfaz en 37 idiomas; idioma no elige país ni reglas. Reglas y variante elegibles; ayudas claras y arte propio.</x:v>
      </x:c>
      <x:c r="O162" s="18" t="str">
        <x:v>global-candidates.json</x:v>
      </x:c>
      <x:c r="P162" s="18" t="str">
        <x:v>2025-10 / 2026-09</x:v>
      </x:c>
      <x:c r="Q162" s="18" t="str">
        <x:v>M</x:v>
      </x:c>
      <x:c r="R162" s="18" t="str">
        <x:v>UV0846</x:v>
      </x:c>
      <x:c r="S162" s="18" t="str">
        <x:v>Pendiente de fuente específica antes de implementar</x:v>
      </x:c>
    </x:row>
    <x:row r="163" ht="64" customHeight="1">
      <x:c r="A163" s="18" t="n">
        <x:v>147</x:v>
      </x:c>
      <x:c r="B163" s="18" t="str">
        <x:v>Carrom</x:v>
      </x:c>
      <x:c r="C163" s="18" t="str">
        <x:v>carrom game</x:v>
      </x:c>
      <x:c r="D163" s="19" t="n">
        <x:v>40500</x:v>
      </x:c>
      <x:c r="E163" s="18" t="str">
        <x:v>Inferior a 240.000</x:v>
      </x:c>
      <x:c r="F163" s="18" t="str">
        <x:v>Reserva: NO cumple demanda autorizada</x:v>
      </x:c>
      <x:c r="G163" s="18" t="str">
        <x:v>Juegos</x:v>
      </x:c>
      <x:c r="H163" s="18" t="str">
        <x:v>https://tools.usefulverse.com/tools/carrom/</x:v>
      </x:c>
      <x:c r="I163" s="18" t="str">
        <x:v>Lanzar un percutor, embolsar fichas y cubrir la reina con física local.</x:v>
      </x:c>
      <x:c r="J163" s="18" t="str">
        <x:v>mini-golf-game no modela percutor, reina ni turnos de Carrom.</x:v>
      </x:c>
      <x:c r="K163" s="18" t="str">
        <x:v>Gráficos propios, controles táctiles y reglas visibles.</x:v>
      </x:c>
      <x:c r="L163" s="18" t="str">
        <x:v>Cálculo/editor/juego local propuesto</x:v>
      </x:c>
      <x:c r="M163" s="18" t="str">
        <x:v>Revisar motor, recursos y dependencias</x:v>
      </x:c>
      <x:c r="N163" s="18" t="str">
        <x:v>Interfaz en 37 idiomas; idioma no elige país ni reglas. Reglas y variante elegibles; ayudas claras y arte propio.</x:v>
      </x:c>
      <x:c r="O163" s="18" t="str">
        <x:v>global-candidates.json</x:v>
      </x:c>
      <x:c r="P163" s="18" t="str">
        <x:v>2025-10 / 2026-09</x:v>
      </x:c>
      <x:c r="Q163" s="18" t="str">
        <x:v>M</x:v>
      </x:c>
      <x:c r="R163" s="18" t="str">
        <x:v>UV0847</x:v>
      </x:c>
      <x:c r="S163" s="18" t="str">
        <x:v>Pendiente de fuente específica antes de implementar</x:v>
      </x:c>
    </x:row>
    <x:row r="164" ht="64" customHeight="1">
      <x:c r="A164" s="18" t="n">
        <x:v>148</x:v>
      </x:c>
      <x:c r="B164" s="18" t="str">
        <x:v>Crokinole</x:v>
      </x:c>
      <x:c r="C164" s="18" t="str">
        <x:v>crokinole</x:v>
      </x:c>
      <x:c r="D164" s="19" t="n">
        <x:v>40500</x:v>
      </x:c>
      <x:c r="E164" s="18" t="str">
        <x:v>Inferior a 240.000</x:v>
      </x:c>
      <x:c r="F164" s="18" t="str">
        <x:v>Reserva: NO cumple demanda autorizada</x:v>
      </x:c>
      <x:c r="G164" s="18" t="str">
        <x:v>Juegos</x:v>
      </x:c>
      <x:c r="H164" s="18" t="str">
        <x:v>https://tools.usefulverse.com/tools/crokinole/</x:v>
      </x:c>
      <x:c r="I164" s="18" t="str">
        <x:v>Lanzar discos sobre un tablero circular con contactos obligatorios y zonas de puntuación.</x:v>
      </x:c>
      <x:c r="J164" s="18" t="str">
        <x:v>carrom usa bolsillos y reina; Crokinole tiene puntuación y contacto diferentes.</x:v>
      </x:c>
      <x:c r="K164" s="18" t="str">
        <x:v>Física aproximada reproducible y reglas explícitas.</x:v>
      </x:c>
      <x:c r="L164" s="18" t="str">
        <x:v>Cálculo/editor/juego local propuesto</x:v>
      </x:c>
      <x:c r="M164" s="18" t="str">
        <x:v>Revisar motor, recursos y dependencias</x:v>
      </x:c>
      <x:c r="N164" s="18" t="str">
        <x:v>Interfaz en 37 idiomas; idioma no elige país ni reglas. Reglas y variante elegibles; ayudas claras y arte propio.</x:v>
      </x:c>
      <x:c r="O164" s="18" t="str">
        <x:v>global-initial-screen.json</x:v>
      </x:c>
      <x:c r="P164" s="18" t="str">
        <x:v>2025-10 / 2026-09</x:v>
      </x:c>
      <x:c r="Q164" s="18" t="str">
        <x:v>M</x:v>
      </x:c>
      <x:c r="R164" s="18" t="str">
        <x:v>UV0848</x:v>
      </x:c>
      <x:c r="S164" s="18" t="str">
        <x:v>Pendiente de fuente específica antes de implementar</x:v>
      </x:c>
    </x:row>
    <x:row r="165" ht="64" customHeight="1">
      <x:c r="A165" s="18" t="n">
        <x:v>149</x:v>
      </x:c>
      <x:c r="B165" s="18" t="str">
        <x:v>Análisis de secuencias de ADN</x:v>
      </x:c>
      <x:c r="C165" s="18" t="str">
        <x:v>reverse complement</x:v>
      </x:c>
      <x:c r="D165" s="19" t="n">
        <x:v>40500</x:v>
      </x:c>
      <x:c r="E165" s="18" t="str">
        <x:v>Inferior a 240.000</x:v>
      </x:c>
      <x:c r="F165" s="18" t="str">
        <x:v>Reserva: NO cumple demanda autorizada</x:v>
      </x:c>
      <x:c r="G165" s="18" t="str">
        <x:v>Ciencia</x:v>
      </x:c>
      <x:c r="H165" s="18" t="str">
        <x:v>https://tools.usefulverse.com/tools/dna-sequence-tool/</x:v>
      </x:c>
      <x:c r="I165" s="18" t="str">
        <x:v>Calcular complemento, transcripción y traducción con marco y código genético elegidos.</x:v>
      </x:c>
      <x:c r="J165" s="18" t="str">
        <x:v>text-translator trabaja con idiomas humanos; no secuencias biológicas.</x:v>
      </x:c>
      <x:c r="K165" s="18" t="str">
        <x:v>Todo local y tablas biológicas abiertas versionadas.</x:v>
      </x:c>
      <x:c r="L165" s="18" t="str">
        <x:v>Cálculo/editor/juego local propuesto</x:v>
      </x:c>
      <x:c r="M165" s="18" t="str">
        <x:v>Revisar motor, recursos y dependencias</x:v>
      </x:c>
      <x:c r="N165" s="18" t="str">
        <x:v>Interfaz en 37 idiomas; idioma no elige país ni reglas. Formatos Intl, RTL y datos/lexicón de idioma con cobertura explícita.</x:v>
      </x:c>
      <x:c r="O165" s="18" t="str">
        <x:v>global-candidates.json</x:v>
      </x:c>
      <x:c r="P165" s="18" t="str">
        <x:v>2025-10 / 2026-09</x:v>
      </x:c>
      <x:c r="Q165" s="18" t="str">
        <x:v>M</x:v>
      </x:c>
      <x:c r="R165" s="18" t="str">
        <x:v>UV0849</x:v>
      </x:c>
      <x:c r="S165" s="18" t="str">
        <x:v>Pendiente de fuente específica antes de implementar</x:v>
      </x:c>
    </x:row>
    <x:row r="166" ht="64" customHeight="1">
      <x:c r="A166" s="18" t="n">
        <x:v>150</x:v>
      </x:c>
      <x:c r="B166" s="18" t="str">
        <x:v>Comprobador SPF, DKIM y DMARC</x:v>
      </x:c>
      <x:c r="C166" s="18" t="str">
        <x:v>spf checker</x:v>
      </x:c>
      <x:c r="D166" s="19" t="n">
        <x:v>40500</x:v>
      </x:c>
      <x:c r="E166" s="18" t="str">
        <x:v>Inferior a 240.000</x:v>
      </x:c>
      <x:c r="F166" s="18" t="str">
        <x:v>Reserva: NO cumple demanda autorizada</x:v>
      </x:c>
      <x:c r="G166" s="18" t="str">
        <x:v>Desarrollo</x:v>
      </x:c>
      <x:c r="H166" s="18" t="str">
        <x:v>https://tools.usefulverse.com/tools/email-authentication-checker/</x:v>
      </x:c>
      <x:c r="I166" s="18" t="str">
        <x:v>Consultar registros, comprobar política y recorrer inclusiones SPF con límites.</x:v>
      </x:c>
      <x:c r="J166" s="18" t="str">
        <x:v>dns-lookup muestra registros; este flujo aplica reglas específicas de autenticación.</x:v>
      </x:c>
      <x:c r="K166" s="18" t="str">
        <x:v>DNS permitido, límites de recursión y selectores DKIM aportados por el usuario.</x:v>
      </x:c>
      <x:c r="L166" s="18" t="str">
        <x:v>Servicio/datos externos: condiciones y cuotas pendientes</x:v>
      </x:c>
      <x:c r="M166" s="18" t="str">
        <x:v>Datos: revisar fuente, licencia y cadencia</x:v>
      </x:c>
      <x:c r="N166" s="18" t="str">
        <x:v>Interfaz en 37 idiomas; idioma no elige país ni reglas. Formatos Intl, RTL y datos/lexicón de idioma con cobertura explícita.</x:v>
      </x:c>
      <x:c r="O166" s="18" t="str">
        <x:v>global-candidates.json</x:v>
      </x:c>
      <x:c r="P166" s="18" t="str">
        <x:v>2025-10 / 2026-09</x:v>
      </x:c>
      <x:c r="Q166" s="18" t="str">
        <x:v>L</x:v>
      </x:c>
      <x:c r="R166" s="18" t="str">
        <x:v>UV0850</x:v>
      </x:c>
      <x:c r="S166" s="18" t="str">
        <x:v>Pendiente de fuente específica antes de implementar</x:v>
      </x:c>
    </x:row>
    <x:row r="167" ht="64" customHeight="1">
      <x:c r="A167" s="18" t="n">
        <x:v>151</x:v>
      </x:c>
      <x:c r="B167" s="18" t="str">
        <x:v>Galaxias simétricas</x:v>
      </x:c>
      <x:c r="C167" s="18" t="str">
        <x:v>galaxies game</x:v>
      </x:c>
      <x:c r="D167" s="19" t="n">
        <x:v>40500</x:v>
      </x:c>
      <x:c r="E167" s="18" t="str">
        <x:v>Inferior a 240.000</x:v>
      </x:c>
      <x:c r="F167" s="18" t="str">
        <x:v>Reserva: NO cumple demanda autorizada</x:v>
      </x:c>
      <x:c r="G167" s="18" t="str">
        <x:v>Juegos</x:v>
      </x:c>
      <x:c r="H167" s="18" t="str">
        <x:v>https://tools.usefulverse.com/tools/galaxies-puzzle/</x:v>
      </x:c>
      <x:c r="I167" s="18" t="str">
        <x:v>Dividir la cuadrícula en regiones simétricas alrededor de centros dados.</x:v>
      </x:c>
      <x:c r="J167" s="18" t="str">
        <x:v>shikaku-puzzle forma rectángulos de área; aquí se exige simetría rotacional.</x:v>
      </x:c>
      <x:c r="K167" s="18" t="str">
        <x:v>Puzzles originales y revisión de unicidad.</x:v>
      </x:c>
      <x:c r="L167" s="18" t="str">
        <x:v>Cálculo/editor/juego local propuesto</x:v>
      </x:c>
      <x:c r="M167" s="18" t="str">
        <x:v>Revisar motor, recursos y dependencias</x:v>
      </x:c>
      <x:c r="N167" s="18" t="str">
        <x:v>Interfaz en 37 idiomas; idioma no elige país ni reglas. Reglas y variante elegibles; ayudas claras y arte propio.</x:v>
      </x:c>
      <x:c r="O167" s="18" t="str">
        <x:v>global-candidates.json</x:v>
      </x:c>
      <x:c r="P167" s="18" t="str">
        <x:v>2025-10 / 2026-09</x:v>
      </x:c>
      <x:c r="Q167" s="18" t="str">
        <x:v>M</x:v>
      </x:c>
      <x:c r="R167" s="18" t="str">
        <x:v>UV0851</x:v>
      </x:c>
      <x:c r="S167" s="18" t="str">
        <x:v>Pendiente de fuente específica antes de implementar</x:v>
      </x:c>
    </x:row>
    <x:row r="168" ht="64" customHeight="1">
      <x:c r="A168" s="18" t="n">
        <x:v>152</x:v>
      </x:c>
      <x:c r="B168" s="18" t="str">
        <x:v>Plataformas</x:v>
      </x:c>
      <x:c r="C168" s="18" t="str">
        <x:v>platform games</x:v>
      </x:c>
      <x:c r="D168" s="19" t="n">
        <x:v>40500</x:v>
      </x:c>
      <x:c r="E168" s="18" t="str">
        <x:v>Inferior a 240.000</x:v>
      </x:c>
      <x:c r="F168" s="18" t="str">
        <x:v>Reserva: NO cumple demanda autorizada</x:v>
      </x:c>
      <x:c r="G168" s="18" t="str">
        <x:v>Juegos</x:v>
      </x:c>
      <x:c r="H168" s="18" t="str">
        <x:v>https://tools.usefulverse.com/tools/platform-game/</x:v>
      </x:c>
      <x:c r="I168" s="18" t="str">
        <x:v>Saltar y recorrer niveles originales con checkpoints y editor de niveles sencillo.</x:v>
      </x:c>
      <x:c r="J168" s="18" t="str">
        <x:v>snake-game se mueve por cuadrícula; no hay colisiones y salto de plataformas.</x:v>
      </x:c>
      <x:c r="K168" s="18" t="str">
        <x:v>No copiar personajes ni niveles de franquicias.</x:v>
      </x:c>
      <x:c r="L168" s="18" t="str">
        <x:v>Cálculo/editor/juego local propuesto</x:v>
      </x:c>
      <x:c r="M168" s="18" t="str">
        <x:v>Revisar motor, recursos y dependencias</x:v>
      </x:c>
      <x:c r="N168" s="18" t="str">
        <x:v>Interfaz en 37 idiomas; idioma no elige país ni reglas. Reglas y variante elegibles; ayudas claras y arte propio.</x:v>
      </x:c>
      <x:c r="O168" s="18" t="str">
        <x:v>global-candidates.json</x:v>
      </x:c>
      <x:c r="P168" s="18" t="str">
        <x:v>2025-10 / 2026-09</x:v>
      </x:c>
      <x:c r="Q168" s="18" t="str">
        <x:v>M</x:v>
      </x:c>
      <x:c r="R168" s="18" t="str">
        <x:v>UV0852</x:v>
      </x:c>
      <x:c r="S168" s="18" t="str">
        <x:v>Pendiente de fuente específica antes de implementar</x:v>
      </x:c>
    </x:row>
    <x:row r="169" ht="64" customHeight="1">
      <x:c r="A169" s="18" t="n">
        <x:v>153</x:v>
      </x:c>
      <x:c r="B169" s="18" t="str">
        <x:v>Creador de presentaciones</x:v>
      </x:c>
      <x:c r="C169" s="18" t="str">
        <x:v>presentation maker</x:v>
      </x:c>
      <x:c r="D169" s="19" t="n">
        <x:v>40500</x:v>
      </x:c>
      <x:c r="E169" s="18" t="str">
        <x:v>Inferior a 240.000</x:v>
      </x:c>
      <x:c r="F169" s="18" t="str">
        <x:v>Reserva: NO cumple demanda autorizada</x:v>
      </x:c>
      <x:c r="G169" s="18" t="str">
        <x:v>Creatividad</x:v>
      </x:c>
      <x:c r="H169" s="18" t="str">
        <x:v>https://tools.usefulverse.com/tools/presentation-maker/</x:v>
      </x:c>
      <x:c r="I169" s="18" t="str">
        <x:v>Crear diapositivas, organizar contenido y exportar presentación editable.</x:v>
      </x:c>
      <x:c r="J169" s="18" t="str">
        <x:v>No hay editor de diapositivas; office-file-compressor solo reduce archivos existentes.</x:v>
      </x:c>
      <x:c r="K169" s="18" t="str">
        <x:v>Biblioteca de exportación compatible y recursos originales.</x:v>
      </x:c>
      <x:c r="L169" s="18" t="str">
        <x:v>Cálculo/editor/juego local propuesto</x:v>
      </x:c>
      <x:c r="M169" s="18" t="str">
        <x:v>Revisar motor, recursos y dependencias</x:v>
      </x:c>
      <x:c r="N169" s="18" t="str">
        <x:v>Interfaz en 37 idiomas; idioma no elige país ni reglas. Formatos Intl, RTL y datos/lexicón de idioma con cobertura explícita.</x:v>
      </x:c>
      <x:c r="O169" s="18" t="str">
        <x:v>global-initial-screen.json</x:v>
      </x:c>
      <x:c r="P169" s="18" t="str">
        <x:v>2025-10 / 2026-09</x:v>
      </x:c>
      <x:c r="Q169" s="18" t="str">
        <x:v>M</x:v>
      </x:c>
      <x:c r="R169" s="18" t="str">
        <x:v>UV0853</x:v>
      </x:c>
      <x:c r="S169" s="18" t="str">
        <x:v>Pendiente de fuente específica antes de implementar</x:v>
      </x:c>
    </x:row>
    <x:row r="170" ht="64" customHeight="1">
      <x:c r="A170" s="18" t="n">
        <x:v>154</x:v>
      </x:c>
      <x:c r="B170" s="18" t="str">
        <x:v>Análisis DAFO</x:v>
      </x:c>
      <x:c r="C170" s="18" t="str">
        <x:v>swot analysis template</x:v>
      </x:c>
      <x:c r="D170" s="19" t="n">
        <x:v>40500</x:v>
      </x:c>
      <x:c r="E170" s="18" t="str">
        <x:v>Inferior a 240.000</x:v>
      </x:c>
      <x:c r="F170" s="18" t="str">
        <x:v>Reserva: NO cumple demanda autorizada</x:v>
      </x:c>
      <x:c r="G170" s="18" t="str">
        <x:v>Trabajo</x:v>
      </x:c>
      <x:c r="H170" s="18" t="str">
        <x:v>https://tools.usefulverse.com/tools/swot-analysis-builder/</x:v>
      </x:c>
      <x:c r="I170" s="18" t="str">
        <x:v>Organizar fortalezas, debilidades, oportunidades y amenazas y derivar acciones enlazadas.</x:v>
      </x:c>
      <x:c r="J170" s="18" t="str">
        <x:v>decision-matrix compara opciones ponderadas; no estructura diagnóstico DAFO.</x:v>
      </x:c>
      <x:c r="K170" s="18" t="str">
        <x:v>Entradas propias; no generar afirmaciones sobre un negocio sin datos.</x:v>
      </x:c>
      <x:c r="L170" s="18" t="str">
        <x:v>Cálculo/editor/juego local propuesto</x:v>
      </x:c>
      <x:c r="M170" s="18" t="str">
        <x:v>Revisar motor, recursos y dependencias</x:v>
      </x:c>
      <x:c r="N170" s="18" t="str">
        <x:v>Interfaz en 37 idiomas; idioma no elige país ni reglas. Formatos Intl, RTL y datos/lexicón de idioma con cobertura explícita.</x:v>
      </x:c>
      <x:c r="O170" s="18" t="str">
        <x:v>global-candidates.json</x:v>
      </x:c>
      <x:c r="P170" s="18" t="str">
        <x:v>2025-10 / 2026-09</x:v>
      </x:c>
      <x:c r="Q170" s="18" t="str">
        <x:v>M</x:v>
      </x:c>
      <x:c r="R170" s="18" t="str">
        <x:v>UV0854</x:v>
      </x:c>
      <x:c r="S170" s="18" t="str">
        <x:v>Pendiente de fuente específica antes de implementar</x:v>
      </x:c>
    </x:row>
    <x:row r="171" ht="64" customHeight="1">
      <x:c r="A171" s="18" t="n">
        <x:v>155</x:v>
      </x:c>
      <x:c r="B171" s="18" t="str">
        <x:v>Tenis de mesa</x:v>
      </x:c>
      <x:c r="C171" s="18" t="str">
        <x:v>ping pong game</x:v>
      </x:c>
      <x:c r="D171" s="19" t="n">
        <x:v>40500</x:v>
      </x:c>
      <x:c r="E171" s="18" t="str">
        <x:v>Inferior a 240.000</x:v>
      </x:c>
      <x:c r="F171" s="18" t="str">
        <x:v>Reserva: NO cumple demanda autorizada</x:v>
      </x:c>
      <x:c r="G171" s="18" t="str">
        <x:v>Juegos</x:v>
      </x:c>
      <x:c r="H171" s="18" t="str">
        <x:v>https://tools.usefulverse.com/tools/table-tennis-game/</x:v>
      </x:c>
      <x:c r="I171" s="18" t="str">
        <x:v>Jugar puntos con saque, efectos y bot local en una mesa propia.</x:v>
      </x:c>
      <x:c r="J171" s="18" t="str">
        <x:v>No hay juego de raqueta; no equivale al clásico de paletas 2D por defecto.</x:v>
      </x:c>
      <x:c r="K171" s="18" t="str">
        <x:v>Física local, controles táctiles y reglas de saque explícitas.</x:v>
      </x:c>
      <x:c r="L171" s="18" t="str">
        <x:v>Cálculo/editor/juego local propuesto</x:v>
      </x:c>
      <x:c r="M171" s="18" t="str">
        <x:v>Revisar motor, recursos y dependencias</x:v>
      </x:c>
      <x:c r="N171" s="18" t="str">
        <x:v>Interfaz en 37 idiomas; idioma no elige país ni reglas. Reglas y variante elegibles; ayudas claras y arte propio.</x:v>
      </x:c>
      <x:c r="O171" s="18" t="str">
        <x:v>global-candidates.json</x:v>
      </x:c>
      <x:c r="P171" s="18" t="str">
        <x:v>2025-10 / 2026-09</x:v>
      </x:c>
      <x:c r="Q171" s="18" t="str">
        <x:v>M</x:v>
      </x:c>
      <x:c r="R171" s="18" t="str">
        <x:v>UV0855</x:v>
      </x:c>
      <x:c r="S171" s="18" t="str">
        <x:v>Pendiente de fuente específica antes de implementar</x:v>
      </x:c>
    </x:row>
    <x:row r="172" ht="64" customHeight="1">
      <x:c r="A172" s="18" t="n">
        <x:v>156</x:v>
      </x:c>
      <x:c r="B172" s="18" t="str">
        <x:v>Acento y sílabas</x:v>
      </x:c>
      <x:c r="C172" s="18" t="str">
        <x:v>syllable counter</x:v>
      </x:c>
      <x:c r="D172" s="19" t="n">
        <x:v>40500</x:v>
      </x:c>
      <x:c r="E172" s="18" t="str">
        <x:v>Inferior a 240.000</x:v>
      </x:c>
      <x:c r="F172" s="18" t="str">
        <x:v>Reserva: NO cumple demanda autorizada</x:v>
      </x:c>
      <x:c r="G172" s="18" t="str">
        <x:v>Idiomas</x:v>
      </x:c>
      <x:c r="H172" s="18" t="str">
        <x:v>https://tools.usefulverse.com/tools/word-stress-finder/</x:v>
      </x:c>
      <x:c r="I172" s="18" t="str">
        <x:v>Separar sílabas y marcar acento con reglas y excepciones elegidas.</x:v>
      </x:c>
      <x:c r="J172" s="18" t="str">
        <x:v>word-hyphenation-tool depende del navegador para cortes de línea; no explica acento léxico.</x:v>
      </x:c>
      <x:c r="K172" s="18" t="str">
        <x:v>Lexicón para lenguas con acento no predecible; no adivinarlo.</x:v>
      </x:c>
      <x:c r="L172" s="18" t="str">
        <x:v>Cálculo/editor/juego local propuesto</x:v>
      </x:c>
      <x:c r="M172" s="18" t="str">
        <x:v>Revisar motor, recursos y dependencias</x:v>
      </x:c>
      <x:c r="N172" s="18" t="str">
        <x:v>Interfaz en 37 idiomas; idioma no elige país ni reglas. Formatos Intl, RTL y datos/lexicón de idioma con cobertura explícita.</x:v>
      </x:c>
      <x:c r="O172" s="18" t="str">
        <x:v>global-initial-screen.json</x:v>
      </x:c>
      <x:c r="P172" s="18" t="str">
        <x:v>2025-10 / 2026-09</x:v>
      </x:c>
      <x:c r="Q172" s="18" t="str">
        <x:v>M</x:v>
      </x:c>
      <x:c r="R172" s="18" t="str">
        <x:v>UV0856</x:v>
      </x:c>
      <x:c r="S172" s="18" t="str">
        <x:v>Pendiente de fuente específica antes de implementar</x:v>
      </x:c>
    </x:row>
    <x:row r="173" ht="64" customHeight="1">
      <x:c r="A173" s="18" t="n">
        <x:v>157</x:v>
      </x:c>
      <x:c r="B173" s="18" t="str">
        <x:v>Editor de esquemas electrónicos</x:v>
      </x:c>
      <x:c r="C173" s="18" t="str">
        <x:v>circuit simulator</x:v>
      </x:c>
      <x:c r="D173" s="19" t="n">
        <x:v>33100</x:v>
      </x:c>
      <x:c r="E173" s="18" t="str">
        <x:v>Inferior a 240.000</x:v>
      </x:c>
      <x:c r="F173" s="18" t="str">
        <x:v>Reserva: NO cumple demanda autorizada</x:v>
      </x:c>
      <x:c r="G173" s="18" t="str">
        <x:v>Desarrollo</x:v>
      </x:c>
      <x:c r="H173" s="18" t="str">
        <x:v>https://tools.usefulverse.com/tools/circuit-diagram-editor/</x:v>
      </x:c>
      <x:c r="I173" s="18" t="str">
        <x:v>Dibujar un circuito, editar componentes y simular un subconjunto documentado.</x:v>
      </x:c>
      <x:c r="J173" s="18" t="str">
        <x:v>ohms-law-calculator y rlc-circuit-calculator resuelven fórmulas aisladas, no redes arbitrarias.</x:v>
      </x:c>
      <x:c r="K173" s="18" t="str">
        <x:v>Motor de simulación local con licencia y modelos delimitados.</x:v>
      </x:c>
      <x:c r="L173" s="18" t="str">
        <x:v>Cálculo/editor/juego local propuesto</x:v>
      </x:c>
      <x:c r="M173" s="18" t="str">
        <x:v>Revisar motor, recursos y dependencias</x:v>
      </x:c>
      <x:c r="N173" s="18" t="str">
        <x:v>Interfaz en 37 idiomas; idioma no elige país ni reglas. Formatos Intl, RTL y datos/lexicón de idioma con cobertura explícita.</x:v>
      </x:c>
      <x:c r="O173" s="18" t="str">
        <x:v>global-candidates.json</x:v>
      </x:c>
      <x:c r="P173" s="18" t="str">
        <x:v>2025-10 / 2026-09</x:v>
      </x:c>
      <x:c r="Q173" s="18" t="str">
        <x:v>M</x:v>
      </x:c>
      <x:c r="R173" s="18" t="str">
        <x:v>UV0857</x:v>
      </x:c>
      <x:c r="S173" s="18" t="str">
        <x:v>Pendiente de fuente específica antes de implementar</x:v>
      </x:c>
    </x:row>
    <x:row r="174" ht="64" customHeight="1">
      <x:c r="A174" s="18" t="n">
        <x:v>158</x:v>
      </x:c>
      <x:c r="B174" s="18" t="str">
        <x:v>Prestación ARE de Francia</x:v>
      </x:c>
      <x:c r="C174" s="18" t="str">
        <x:v>simulateur chomage</x:v>
      </x:c>
      <x:c r="D174" s="19" t="n">
        <x:v>33100</x:v>
      </x:c>
      <x:c r="E174" s="18" t="str">
        <x:v>Inferior a 240.000</x:v>
      </x:c>
      <x:c r="F174" s="18" t="str">
        <x:v>Reserva: NO cumple demanda autorizada</x:v>
      </x:c>
      <x:c r="G174" s="18" t="str">
        <x:v>Finanzas</x:v>
      </x:c>
      <x:c r="H174" s="18" t="str">
        <x:v>https://tools.usefulverse.com/tools/france-unemployment-benefit/</x:v>
      </x:c>
      <x:c r="I174" s="18" t="str">
        <x:v>Estimar salario de referencia, cuantía y duración en casos ordinarios soportados.</x:v>
      </x:c>
      <x:c r="J174" s="18" t="str">
        <x:v>No existe cálculo de ARE; no reutilizar fórmulas NAV.</x:v>
      </x:c>
      <x:c r="K174" s="18" t="str">
        <x:v>Reglas oficiales de France Travail y fechas de final de contrato.</x:v>
      </x:c>
      <x:c r="L174" s="18" t="str">
        <x:v>Cálculo/editor/juego local propuesto</x:v>
      </x:c>
      <x:c r="M174" s="18" t="str">
        <x:v>Alta: normativa y tablas por ejercicio</x:v>
      </x:c>
      <x:c r="N174" s="18" t="str">
        <x:v>Interfaz en 37 idiomas; idioma no elige país ni reglas. Jurisdicción y año visibles; fuentes oficiales del país.</x:v>
      </x:c>
      <x:c r="O174" s="18" t="str">
        <x:v>global-candidates.json</x:v>
      </x:c>
      <x:c r="P174" s="18" t="str">
        <x:v>2025-10 / 2026-09</x:v>
      </x:c>
      <x:c r="Q174" s="18" t="str">
        <x:v>L</x:v>
      </x:c>
      <x:c r="R174" s="18" t="str">
        <x:v>UV0858</x:v>
      </x:c>
      <x:c r="S174" s="18" t="str">
        <x:v>Pendiente de fuente específica antes de implementar</x:v>
      </x:c>
    </x:row>
    <x:row r="175" ht="64" customHeight="1">
      <x:c r="A175" s="18" t="n">
        <x:v>159</x:v>
      </x:c>
      <x:c r="B175" s="18" t="str">
        <x:v>Comprobador HTTP y redirecciones</x:v>
      </x:c>
      <x:c r="C175" s="18" t="str">
        <x:v>redirect checker</x:v>
      </x:c>
      <x:c r="D175" s="19" t="n">
        <x:v>33100</x:v>
      </x:c>
      <x:c r="E175" s="18" t="str">
        <x:v>Inferior a 240.000</x:v>
      </x:c>
      <x:c r="F175" s="18" t="str">
        <x:v>Reserva: NO cumple demanda autorizada</x:v>
      </x:c>
      <x:c r="G175" s="18" t="str">
        <x:v>Desarrollo</x:v>
      </x:c>
      <x:c r="H175" s="18" t="str">
        <x:v>https://tools.usefulverse.com/tools/http-response-checker/</x:v>
      </x:c>
      <x:c r="I175" s="18" t="str">
        <x:v>Consultar estado, cadena de redirección y cabeceras de una URL pública.</x:v>
      </x:c>
      <x:c r="J175" s="18" t="str">
        <x:v>api-request-builder genera comandos sin enviarlos; sitemap-validator no consulta URLs.</x:v>
      </x:c>
      <x:c r="K175" s="18" t="str">
        <x:v>CORS y SSRF: solo habilitar con backend acotado y coste demostrado o extensión local.</x:v>
      </x:c>
      <x:c r="L175" s="18" t="str">
        <x:v>Servicio/datos externos: condiciones y cuotas pendientes</x:v>
      </x:c>
      <x:c r="M175" s="18" t="str">
        <x:v>Datos: revisar fuente, licencia y cadencia</x:v>
      </x:c>
      <x:c r="N175" s="18" t="str">
        <x:v>Interfaz en 37 idiomas; idioma no elige país ni reglas. Formatos Intl, RTL y datos/lexicón de idioma con cobertura explícita.</x:v>
      </x:c>
      <x:c r="O175" s="18" t="str">
        <x:v>global-candidates.json</x:v>
      </x:c>
      <x:c r="P175" s="18" t="str">
        <x:v>2025-10 / 2026-09</x:v>
      </x:c>
      <x:c r="Q175" s="18" t="str">
        <x:v>L</x:v>
      </x:c>
      <x:c r="R175" s="18" t="str">
        <x:v>UV0859</x:v>
      </x:c>
      <x:c r="S175" s="18" t="str">
        <x:v>Pendiente de fuente específica antes de implementar</x:v>
      </x:c>
    </x:row>
    <x:row r="176" ht="64" customHeight="1">
      <x:c r="A176" s="18" t="n">
        <x:v>160</x:v>
      </x:c>
      <x:c r="B176" s="18" t="str">
        <x:v>Visualizador de orbitales</x:v>
      </x:c>
      <x:c r="C176" s="18" t="str">
        <x:v>orbital diagram</x:v>
      </x:c>
      <x:c r="D176" s="19" t="n">
        <x:v>33100</x:v>
      </x:c>
      <x:c r="E176" s="18" t="str">
        <x:v>Inferior a 240.000</x:v>
      </x:c>
      <x:c r="F176" s="18" t="str">
        <x:v>Reserva: NO cumple demanda autorizada</x:v>
      </x:c>
      <x:c r="G176" s="18" t="str">
        <x:v>Ciencia</x:v>
      </x:c>
      <x:c r="H176" s="18" t="str">
        <x:v>https://tools.usefulverse.com/tools/orbital-visualizer/</x:v>
      </x:c>
      <x:c r="I176" s="18" t="str">
        <x:v>Explorar orbitales y densidades de probabilidad con números cuánticos válidos.</x:v>
      </x:c>
      <x:c r="J176" s="18" t="str">
        <x:v>periodic-table lista elementos; no representa funciones orbitales.</x:v>
      </x:c>
      <x:c r="K176" s="18" t="str">
        <x:v>Modelo físico y aproximaciones explícitos.</x:v>
      </x:c>
      <x:c r="L176" s="18" t="str">
        <x:v>Cálculo/editor/juego local propuesto</x:v>
      </x:c>
      <x:c r="M176" s="18" t="str">
        <x:v>Revisar motor, recursos y dependencias</x:v>
      </x:c>
      <x:c r="N176" s="18" t="str">
        <x:v>Interfaz en 37 idiomas; idioma no elige país ni reglas. Formatos Intl, RTL y datos/lexicón de idioma con cobertura explícita.</x:v>
      </x:c>
      <x:c r="O176" s="18" t="str">
        <x:v>global-candidates.json</x:v>
      </x:c>
      <x:c r="P176" s="18" t="str">
        <x:v>2025-10 / 2026-09</x:v>
      </x:c>
      <x:c r="Q176" s="18" t="str">
        <x:v>M</x:v>
      </x:c>
      <x:c r="R176" s="18" t="str">
        <x:v>UV0860</x:v>
      </x:c>
      <x:c r="S176" s="18" t="str">
        <x:v>Pendiente de fuente específica antes de implementar</x:v>
      </x:c>
    </x:row>
    <x:row r="177" ht="64" customHeight="1">
      <x:c r="A177" s="18" t="n">
        <x:v>161</x:v>
      </x:c>
      <x:c r="B177" s="18" t="str">
        <x:v>Imposición de imprenta</x:v>
      </x:c>
      <x:c r="C177" s="18" t="str">
        <x:v>pdf booklet</x:v>
      </x:c>
      <x:c r="D177" s="19" t="n">
        <x:v>33100</x:v>
      </x:c>
      <x:c r="E177" s="18" t="str">
        <x:v>Inferior a 240.000</x:v>
      </x:c>
      <x:c r="F177" s="18" t="str">
        <x:v>Reserva: NO cumple demanda autorizada</x:v>
      </x:c>
      <x:c r="G177" s="18" t="str">
        <x:v>Trabajo</x:v>
      </x:c>
      <x:c r="H177" s="18" t="str">
        <x:v>https://tools.usefulverse.com/tools/pdf-imposition/</x:v>
      </x:c>
      <x:c r="I177" s="18" t="str">
        <x:v>Distribuir páginas en pliegos con firmas, sangrado y orden de plegado para impresión.</x:v>
      </x:c>
      <x:c r="J177" s="18" t="str">
        <x:v>pdf-page-editor reordena páginas; no impone pliegos con firmas y marcas de corte.</x:v>
      </x:c>
      <x:c r="K177" s="18" t="str">
        <x:v>Motor local y prueba de doble cara y escala, original preservado.</x:v>
      </x:c>
      <x:c r="L177" s="18" t="str">
        <x:v>Cálculo/editor/juego local propuesto</x:v>
      </x:c>
      <x:c r="M177" s="18" t="str">
        <x:v>Revisar motor, recursos y dependencias</x:v>
      </x:c>
      <x:c r="N177" s="18" t="str">
        <x:v>Interfaz en 37 idiomas; idioma no elige país ni reglas. Formatos Intl, RTL y datos/lexicón de idioma con cobertura explícita.</x:v>
      </x:c>
      <x:c r="O177" s="18" t="str">
        <x:v>global-candidates.json</x:v>
      </x:c>
      <x:c r="P177" s="18" t="str">
        <x:v>2025-10 / 2026-09</x:v>
      </x:c>
      <x:c r="Q177" s="18" t="str">
        <x:v>M</x:v>
      </x:c>
      <x:c r="R177" s="18" t="str">
        <x:v>UV0861</x:v>
      </x:c>
      <x:c r="S177" s="18" t="str">
        <x:v>Pendiente de fuente específica antes de implementar</x:v>
      </x:c>
    </x:row>
    <x:row r="178" ht="64" customHeight="1">
      <x:c r="A178" s="18" t="n">
        <x:v>162</x:v>
      </x:c>
      <x:c r="B178" s="18" t="str">
        <x:v>Restaurador fotográfico</x:v>
      </x:c>
      <x:c r="C178" s="18" t="str">
        <x:v>restore old photos</x:v>
      </x:c>
      <x:c r="D178" s="19" t="n">
        <x:v>33100</x:v>
      </x:c>
      <x:c r="E178" s="18" t="str">
        <x:v>Inferior a 240.000</x:v>
      </x:c>
      <x:c r="F178" s="18" t="str">
        <x:v>Reserva: NO cumple demanda autorizada</x:v>
      </x:c>
      <x:c r="G178" s="18" t="str">
        <x:v>Creatividad</x:v>
      </x:c>
      <x:c r="H178" s="18" t="str">
        <x:v>https://tools.usefulverse.com/tools/photo-restoration/</x:v>
      </x:c>
      <x:c r="I178" s="18" t="str">
        <x:v>Reparar arañazos y ruido en copias de fotografías y comparar antes/después.</x:v>
      </x:c>
      <x:c r="J178" s="18" t="str">
        <x:v>image-sharpener realza bordes; aquí se reconstruyen defectos, con resultado estimado.</x:v>
      </x:c>
      <x:c r="K178" s="18" t="str">
        <x:v>Modelo local comercialmente permitido y controles manuales; no garantizar fidelidad histórica.</x:v>
      </x:c>
      <x:c r="L178" s="18" t="str">
        <x:v>Modelo local: licencia y rendimiento pendientes</x:v>
      </x:c>
      <x:c r="M178" s="18" t="str">
        <x:v>Revisar motor, recursos y dependencias</x:v>
      </x:c>
      <x:c r="N178" s="18" t="str">
        <x:v>Interfaz en 37 idiomas; idioma no elige país ni reglas. Formatos Intl, RTL y datos/lexicón de idioma con cobertura explícita.</x:v>
      </x:c>
      <x:c r="O178" s="18" t="str">
        <x:v>global-candidates.json</x:v>
      </x:c>
      <x:c r="P178" s="18" t="str">
        <x:v>2025-10 / 2026-09</x:v>
      </x:c>
      <x:c r="Q178" s="18" t="str">
        <x:v>L</x:v>
      </x:c>
      <x:c r="R178" s="18" t="str">
        <x:v>UV0862</x:v>
      </x:c>
      <x:c r="S178" s="18" t="str">
        <x:v>https://github.com/huggingface/transformers.js</x:v>
      </x:c>
    </x:row>
    <x:row r="179" ht="64" customHeight="1">
      <x:c r="A179" s="18" t="n">
        <x:v>163</x:v>
      </x:c>
      <x:c r="B179" s="18" t="str">
        <x:v>Intervalo QT corregido</x:v>
      </x:c>
      <x:c r="C179" s="18" t="str">
        <x:v>qtc calculator</x:v>
      </x:c>
      <x:c r="D179" s="19" t="n">
        <x:v>33100</x:v>
      </x:c>
      <x:c r="E179" s="18" t="str">
        <x:v>Inferior a 240.000</x:v>
      </x:c>
      <x:c r="F179" s="18" t="str">
        <x:v>Reserva: NO cumple demanda autorizada</x:v>
      </x:c>
      <x:c r="G179" s="18" t="str">
        <x:v>Bienestar</x:v>
      </x:c>
      <x:c r="H179" s="18" t="str">
        <x:v>https://tools.usefulverse.com/tools/qtc-calculator/</x:v>
      </x:c>
      <x:c r="I179" s="18" t="str">
        <x:v>Comparar fórmulas de QTc con QT y RR medidos y unidades claras.</x:v>
      </x:c>
      <x:c r="J179" s="18" t="str">
        <x:v>heart-rate-zone-calculator estima zonas de ejercicio, no electrocardiografía.</x:v>
      </x:c>
      <x:c r="K179" s="18" t="str">
        <x:v>Fórmulas citadas y sin interpretación diagnóstica autónoma.</x:v>
      </x:c>
      <x:c r="L179" s="18" t="str">
        <x:v>Cálculo/editor/juego local propuesto</x:v>
      </x:c>
      <x:c r="M179" s="18" t="str">
        <x:v>Revisar motor, recursos y dependencias</x:v>
      </x:c>
      <x:c r="N179" s="18" t="str">
        <x:v>Interfaz en 37 idiomas; idioma no elige país ni reglas. Formatos Intl, RTL y datos/lexicón de idioma con cobertura explícita.</x:v>
      </x:c>
      <x:c r="O179" s="18" t="str">
        <x:v>global-candidates.json</x:v>
      </x:c>
      <x:c r="P179" s="18" t="str">
        <x:v>2025-10 / 2026-09</x:v>
      </x:c>
      <x:c r="Q179" s="18" t="str">
        <x:v>L</x:v>
      </x:c>
      <x:c r="R179" s="18" t="str">
        <x:v>UV0863</x:v>
      </x:c>
      <x:c r="S179" s="18" t="str">
        <x:v>Pendiente de fuente específica antes de implementar</x:v>
      </x:c>
    </x:row>
    <x:row r="180" ht="64" customHeight="1">
      <x:c r="A180" s="18" t="n">
        <x:v>164</x:v>
      </x:c>
      <x:c r="B180" s="18" t="str">
        <x:v>Analizador nutricional de recetas</x:v>
      </x:c>
      <x:c r="C180" s="18" t="str">
        <x:v>recipe nutrition calculator</x:v>
      </x:c>
      <x:c r="D180" s="19" t="n">
        <x:v>33100</x:v>
      </x:c>
      <x:c r="E180" s="18" t="str">
        <x:v>Inferior a 240.000</x:v>
      </x:c>
      <x:c r="F180" s="18" t="str">
        <x:v>Reserva: NO cumple demanda autorizada</x:v>
      </x:c>
      <x:c r="G180" s="18" t="str">
        <x:v>Vida</x:v>
      </x:c>
      <x:c r="H180" s="18" t="str">
        <x:v>https://tools.usefulverse.com/tools/recipe-nutrition-analyzer/</x:v>
      </x:c>
      <x:c r="I180" s="18" t="str">
        <x:v>Relacionar ingredientes y cantidades con datos de composición y calcular por ración.</x:v>
      </x:c>
      <x:c r="J180" s="18" t="str">
        <x:v>recipe-scaler cambia cantidades; macro-calorie-calculator distribuye porcentajes.</x:v>
      </x:c>
      <x:c r="K180" s="18" t="str">
        <x:v>Base alimentaria abierta, equivalencias editables y valores aproximados.</x:v>
      </x:c>
      <x:c r="L180" s="18" t="str">
        <x:v>Cálculo/editor/juego local propuesto</x:v>
      </x:c>
      <x:c r="M180" s="18" t="str">
        <x:v>Revisar motor, recursos y dependencias</x:v>
      </x:c>
      <x:c r="N180" s="18" t="str">
        <x:v>Interfaz en 37 idiomas; idioma no elige país ni reglas. Formatos Intl, RTL y datos/lexicón de idioma con cobertura explícita.</x:v>
      </x:c>
      <x:c r="O180" s="18" t="str">
        <x:v>global-candidates.json</x:v>
      </x:c>
      <x:c r="P180" s="18" t="str">
        <x:v>2025-10 / 2026-09</x:v>
      </x:c>
      <x:c r="Q180" s="18" t="str">
        <x:v>M</x:v>
      </x:c>
      <x:c r="R180" s="18" t="str">
        <x:v>UV0864</x:v>
      </x:c>
      <x:c r="S180" s="18" t="str">
        <x:v>Pendiente de fuente específica antes de implementar</x:v>
      </x:c>
    </x:row>
    <x:row r="181" ht="64" customHeight="1">
      <x:c r="A181" s="18" t="n">
        <x:v>165</x:v>
      </x:c>
      <x:c r="B181" s="18" t="str">
        <x:v>Star Battle</x:v>
      </x:c>
      <x:c r="C181" s="18" t="str">
        <x:v>star battle</x:v>
      </x:c>
      <x:c r="D181" s="19" t="n">
        <x:v>33100</x:v>
      </x:c>
      <x:c r="E181" s="18" t="str">
        <x:v>Inferior a 240.000</x:v>
      </x:c>
      <x:c r="F181" s="18" t="str">
        <x:v>Reserva: NO cumple demanda autorizada</x:v>
      </x:c>
      <x:c r="G181" s="18" t="str">
        <x:v>Juegos</x:v>
      </x:c>
      <x:c r="H181" s="18" t="str">
        <x:v>https://tools.usefulverse.com/tools/star-battle/</x:v>
      </x:c>
      <x:c r="I181" s="18" t="str">
        <x:v>Colocar estrellas con cuotas por fila, columna y región sin tocarse.</x:v>
      </x:c>
      <x:c r="J181" s="18" t="str">
        <x:v>No hay puzzle que combine estas tres cuotas con exclusión de adyacencia.</x:v>
      </x:c>
      <x:c r="K181" s="18" t="str">
        <x:v>Tableros propios y solución única.</x:v>
      </x:c>
      <x:c r="L181" s="18" t="str">
        <x:v>Cálculo/editor/juego local propuesto</x:v>
      </x:c>
      <x:c r="M181" s="18" t="str">
        <x:v>Revisar motor, recursos y dependencias</x:v>
      </x:c>
      <x:c r="N181" s="18" t="str">
        <x:v>Interfaz en 37 idiomas; idioma no elige país ni reglas. Reglas y variante elegibles; ayudas claras y arte propio.</x:v>
      </x:c>
      <x:c r="O181" s="18" t="str">
        <x:v>global-candidates.json</x:v>
      </x:c>
      <x:c r="P181" s="18" t="str">
        <x:v>2025-10 / 2026-09</x:v>
      </x:c>
      <x:c r="Q181" s="18" t="str">
        <x:v>M</x:v>
      </x:c>
      <x:c r="R181" s="18" t="str">
        <x:v>UV0865</x:v>
      </x:c>
      <x:c r="S181" s="18" t="str">
        <x:v>Pendiente de fuente específica antes de implementar</x:v>
      </x:c>
    </x:row>
    <x:row r="182" ht="64" customHeight="1">
      <x:c r="A182" s="18" t="n">
        <x:v>166</x:v>
      </x:c>
      <x:c r="B182" s="18" t="str">
        <x:v>Tute</x:v>
      </x:c>
      <x:c r="C182" s="18" t="str">
        <x:v>tute</x:v>
      </x:c>
      <x:c r="D182" s="19" t="n">
        <x:v>33100</x:v>
      </x:c>
      <x:c r="E182" s="18" t="str">
        <x:v>Inferior a 240.000</x:v>
      </x:c>
      <x:c r="F182" s="18" t="str">
        <x:v>Reserva: NO cumple demanda autorizada</x:v>
      </x:c>
      <x:c r="G182" s="18" t="str">
        <x:v>Juegos</x:v>
      </x:c>
      <x:c r="H182" s="18" t="str">
        <x:v>https://tools.usefulverse.com/tools/tute/</x:v>
      </x:c>
      <x:c r="I182" s="18" t="str">
        <x:v>Jugar bazas con obligación de asistir, montar y cantar con reglas configurables.</x:v>
      </x:c>
      <x:c r="J182" s="18" t="str">
        <x:v>Brisca no obliga a montar y no usa los mismos cantos.</x:v>
      </x:c>
      <x:c r="K182" s="18" t="str">
        <x:v>Variantes de parejas o individual claramente indicadas.</x:v>
      </x:c>
      <x:c r="L182" s="18" t="str">
        <x:v>Cálculo/editor/juego local propuesto</x:v>
      </x:c>
      <x:c r="M182" s="18" t="str">
        <x:v>Revisar motor, recursos y dependencias</x:v>
      </x:c>
      <x:c r="N182" s="18" t="str">
        <x:v>Interfaz en 37 idiomas; idioma no elige país ni reglas. Reglas y variante elegibles; ayudas claras y arte propio.</x:v>
      </x:c>
      <x:c r="O182" s="18" t="str">
        <x:v>global-candidates.json</x:v>
      </x:c>
      <x:c r="P182" s="18" t="str">
        <x:v>2025-10 / 2026-09</x:v>
      </x:c>
      <x:c r="Q182" s="18" t="str">
        <x:v>M</x:v>
      </x:c>
      <x:c r="R182" s="18" t="str">
        <x:v>UV0866</x:v>
      </x:c>
      <x:c r="S182" s="18" t="str">
        <x:v>Pendiente de fuente específica antes de implementar</x:v>
      </x:c>
    </x:row>
    <x:row r="183" ht="64" customHeight="1">
      <x:c r="A183" s="18" t="n">
        <x:v>167</x:v>
      </x:c>
      <x:c r="B183" s="18" t="str">
        <x:v>Planificador de bodas</x:v>
      </x:c>
      <x:c r="C183" s="18" t="str">
        <x:v>wedding planning tool</x:v>
      </x:c>
      <x:c r="D183" s="19" t="n">
        <x:v>33100</x:v>
      </x:c>
      <x:c r="E183" s="18" t="str">
        <x:v>Inferior a 240.000</x:v>
      </x:c>
      <x:c r="F183" s="18" t="str">
        <x:v>Reserva: NO cumple demanda autorizada</x:v>
      </x:c>
      <x:c r="G183" s="18" t="str">
        <x:v>Vida</x:v>
      </x:c>
      <x:c r="H183" s="18" t="str">
        <x:v>https://tools.usefulverse.com/tools/wedding-planner/</x:v>
      </x:c>
      <x:c r="I183" s="18" t="str">
        <x:v>Coordinar proveedores, pagos, invitados y calendario con exportación privada.</x:v>
      </x:c>
      <x:c r="J183" s="18" t="str">
        <x:v>seating-chart-maker distribuye mesas; event-budget-calculator no coordina todo el evento.</x:v>
      </x:c>
      <x:c r="K183" s="18" t="str">
        <x:v>No directorio comercial ni recomendaciones inventadas; datos locales.</x:v>
      </x:c>
      <x:c r="L183" s="18" t="str">
        <x:v>Cálculo/editor/juego local propuesto</x:v>
      </x:c>
      <x:c r="M183" s="18" t="str">
        <x:v>Revisar motor, recursos y dependencias</x:v>
      </x:c>
      <x:c r="N183" s="18" t="str">
        <x:v>Interfaz en 37 idiomas; idioma no elige país ni reglas. Formatos Intl, RTL y datos/lexicón de idioma con cobertura explícita.</x:v>
      </x:c>
      <x:c r="O183" s="18" t="str">
        <x:v>global-refinement.json</x:v>
      </x:c>
      <x:c r="P183" s="18" t="str">
        <x:v>2025-10 / 2026-09</x:v>
      </x:c>
      <x:c r="Q183" s="18" t="str">
        <x:v>M</x:v>
      </x:c>
      <x:c r="R183" s="18" t="str">
        <x:v>UV0867</x:v>
      </x:c>
      <x:c r="S183" s="18" t="str">
        <x:v>Pendiente de fuente específica antes de implementar</x:v>
      </x:c>
    </x:row>
    <x:row r="184" ht="64" customHeight="1">
      <x:c r="A184" s="18" t="n">
        <x:v>168</x:v>
      </x:c>
      <x:c r="B184" s="18" t="str">
        <x:v>Laminador de impresión 3D</x:v>
      </x:c>
      <x:c r="C184" s="18" t="str">
        <x:v>3d slicer</x:v>
      </x:c>
      <x:c r="D184" s="19" t="n">
        <x:v>27100</x:v>
      </x:c>
      <x:c r="E184" s="18" t="str">
        <x:v>Inferior a 240.000</x:v>
      </x:c>
      <x:c r="F184" s="18" t="str">
        <x:v>Reserva: NO cumple demanda autorizada</x:v>
      </x:c>
      <x:c r="G184" s="18" t="str">
        <x:v>Creatividad</x:v>
      </x:c>
      <x:c r="H184" s="18" t="str">
        <x:v>https://tools.usefulverse.com/tools/3d-print-slicer/</x:v>
      </x:c>
      <x:c r="I184" s="18" t="str">
        <x:v>Laminar una malla, configurar capas y relleno y exportar G-code con previsualización.</x:v>
      </x:c>
      <x:c r="J184" s="18" t="str">
        <x:v>3d-model-viewer no planifica trayectorias de fabricación.</x:v>
      </x:c>
      <x:c r="K184" s="18" t="str">
        <x:v>Perfiles confirmados por el usuario y motor con licencia; no enviar a impresora automáticamente.</x:v>
      </x:c>
      <x:c r="L184" s="18" t="str">
        <x:v>Cálculo/editor/juego local propuesto</x:v>
      </x:c>
      <x:c r="M184" s="18" t="str">
        <x:v>Revisar motor, recursos y dependencias</x:v>
      </x:c>
      <x:c r="N184" s="18" t="str">
        <x:v>Interfaz en 37 idiomas; idioma no elige país ni reglas. Formatos Intl, RTL y datos/lexicón de idioma con cobertura explícita.</x:v>
      </x:c>
      <x:c r="O184" s="18" t="str">
        <x:v>global-candidates.json</x:v>
      </x:c>
      <x:c r="P184" s="18" t="str">
        <x:v>2025-10 / 2026-09</x:v>
      </x:c>
      <x:c r="Q184" s="18" t="str">
        <x:v>M</x:v>
      </x:c>
      <x:c r="R184" s="18" t="str">
        <x:v>UV0868</x:v>
      </x:c>
      <x:c r="S184" s="18" t="str">
        <x:v>Pendiente de fuente específica antes de implementar</x:v>
      </x:c>
    </x:row>
    <x:row r="185" ht="64" customHeight="1">
      <x:c r="A185" s="18" t="n">
        <x:v>169</x:v>
      </x:c>
      <x:c r="B185" s="18" t="str">
        <x:v>Bolos</x:v>
      </x:c>
      <x:c r="C185" s="18" t="str">
        <x:v>bowling game</x:v>
      </x:c>
      <x:c r="D185" s="19" t="n">
        <x:v>27100</x:v>
      </x:c>
      <x:c r="E185" s="18" t="str">
        <x:v>Inferior a 240.000</x:v>
      </x:c>
      <x:c r="F185" s="18" t="str">
        <x:v>Reserva: NO cumple demanda autorizada</x:v>
      </x:c>
      <x:c r="G185" s="18" t="str">
        <x:v>Juegos</x:v>
      </x:c>
      <x:c r="H185" s="18" t="str">
        <x:v>https://tools.usefulverse.com/tools/bowling-game/</x:v>
      </x:c>
      <x:c r="I185" s="18" t="str">
        <x:v>Lanzar una bola, derribar pinos y puntuar diez cuadros con strikes y spares.</x:v>
      </x:c>
      <x:c r="J185" s="18" t="str">
        <x:v>pinball-game tiene flippers y rebotes; no reglas de bolos.</x:v>
      </x:c>
      <x:c r="K185" s="18" t="str">
        <x:v>Física y arte propios, sin multijugador en servidor.</x:v>
      </x:c>
      <x:c r="L185" s="18" t="str">
        <x:v>Cálculo/editor/juego local propuesto</x:v>
      </x:c>
      <x:c r="M185" s="18" t="str">
        <x:v>Revisar motor, recursos y dependencias</x:v>
      </x:c>
      <x:c r="N185" s="18" t="str">
        <x:v>Interfaz en 37 idiomas; idioma no elige país ni reglas. Reglas y variante elegibles; ayudas claras y arte propio.</x:v>
      </x:c>
      <x:c r="O185" s="18" t="str">
        <x:v>global-candidates.json</x:v>
      </x:c>
      <x:c r="P185" s="18" t="str">
        <x:v>2025-10 / 2026-09</x:v>
      </x:c>
      <x:c r="Q185" s="18" t="str">
        <x:v>M</x:v>
      </x:c>
      <x:c r="R185" s="18" t="str">
        <x:v>UV0869</x:v>
      </x:c>
      <x:c r="S185" s="18" t="str">
        <x:v>Pendiente de fuente específica antes de implementar</x:v>
      </x:c>
    </x:row>
    <x:row r="186" ht="64" customHeight="1">
      <x:c r="A186" s="18" t="n">
        <x:v>170</x:v>
      </x:c>
      <x:c r="B186" s="18" t="str">
        <x:v>Traductor braille</x:v>
      </x:c>
      <x:c r="C186" s="18" t="str">
        <x:v>braille translator</x:v>
      </x:c>
      <x:c r="D186" s="19" t="n">
        <x:v>27100</x:v>
      </x:c>
      <x:c r="E186" s="18" t="str">
        <x:v>Inferior a 240.000</x:v>
      </x:c>
      <x:c r="F186" s="18" t="str">
        <x:v>Reserva: NO cumple demanda autorizada</x:v>
      </x:c>
      <x:c r="G186" s="18" t="str">
        <x:v>Idiomas</x:v>
      </x:c>
      <x:c r="H186" s="18" t="str">
        <x:v>https://tools.usefulverse.com/tools/braille-translator/</x:v>
      </x:c>
      <x:c r="I186" s="18" t="str">
        <x:v>Traducir a braille con grado y norma seleccionados, y exportar BRF.</x:v>
      </x:c>
      <x:c r="J186" s="18" t="str">
        <x:v>No existe braille; no se confunde con ASCII art.</x:v>
      </x:c>
      <x:c r="K186" s="18" t="str">
        <x:v>Liblouis y tablas compatibles; braille depende del idioma y la norma.</x:v>
      </x:c>
      <x:c r="L186" s="18" t="str">
        <x:v>Cálculo/editor/juego local propuesto</x:v>
      </x:c>
      <x:c r="M186" s="18" t="str">
        <x:v>Revisar motor, recursos y dependencias</x:v>
      </x:c>
      <x:c r="N186" s="18" t="str">
        <x:v>Interfaz en 37 idiomas; idioma no elige país ni reglas. Formatos Intl, RTL y datos/lexicón de idioma con cobertura explícita.</x:v>
      </x:c>
      <x:c r="O186" s="18" t="str">
        <x:v>global-initial-screen.json</x:v>
      </x:c>
      <x:c r="P186" s="18" t="str">
        <x:v>2025-10 / 2026-09</x:v>
      </x:c>
      <x:c r="Q186" s="18" t="str">
        <x:v>M</x:v>
      </x:c>
      <x:c r="R186" s="18" t="str">
        <x:v>UV0870</x:v>
      </x:c>
      <x:c r="S186" s="18" t="str">
        <x:v>Pendiente de fuente específica antes de implementar</x:v>
      </x:c>
    </x:row>
    <x:row r="187" ht="64" customHeight="1">
      <x:c r="A187" s="18" t="n">
        <x:v>171</x:v>
      </x:c>
      <x:c r="B187" s="18" t="str">
        <x:v>Contribución INSS de Brasil</x:v>
      </x:c>
      <x:c r="C187" s="18" t="str">
        <x:v>calculadora inss</x:v>
      </x:c>
      <x:c r="D187" s="19" t="n">
        <x:v>27100</x:v>
      </x:c>
      <x:c r="E187" s="18" t="str">
        <x:v>Inferior a 240.000</x:v>
      </x:c>
      <x:c r="F187" s="18" t="str">
        <x:v>Reserva: NO cumple demanda autorizada</x:v>
      </x:c>
      <x:c r="G187" s="18" t="str">
        <x:v>Finanzas</x:v>
      </x:c>
      <x:c r="H187" s="18" t="str">
        <x:v>https://tools.usefulverse.com/tools/brazil-inss-contribution/</x:v>
      </x:c>
      <x:c r="I187" s="18" t="str">
        <x:v>Aplicar tramos progresivos, base y límites de contribución INSS según categoría.</x:v>
      </x:c>
      <x:c r="J187" s="18" t="str">
        <x:v>No es un porcentaje plano ni un cálculo de pensión suiza.</x:v>
      </x:c>
      <x:c r="K187" s="18" t="str">
        <x:v>Tablas oficiales anuales y categoría laboral explícita.</x:v>
      </x:c>
      <x:c r="L187" s="18" t="str">
        <x:v>Cálculo/editor/juego local propuesto</x:v>
      </x:c>
      <x:c r="M187" s="18" t="str">
        <x:v>Alta: normativa y tablas por ejercicio</x:v>
      </x:c>
      <x:c r="N187" s="18" t="str">
        <x:v>Interfaz en 37 idiomas; idioma no elige país ni reglas. Jurisdicción y año visibles; fuentes oficiales del país.</x:v>
      </x:c>
      <x:c r="O187" s="18" t="str">
        <x:v>discovery-multilingual-west.json</x:v>
      </x:c>
      <x:c r="P187" s="18" t="str">
        <x:v>2025-10 / 2026-09</x:v>
      </x:c>
      <x:c r="Q187" s="18" t="str">
        <x:v>L</x:v>
      </x:c>
      <x:c r="R187" s="18" t="str">
        <x:v>UV0871</x:v>
      </x:c>
      <x:c r="S187" s="18" t="str">
        <x:v>https://www.gov.br/trabalho-e-emprego/pt-br/acesso-a-informacao/acoes-e-programas/programas-projetos-acoes-obras-e-atividades/proteja/duvidas-frequentes</x:v>
      </x:c>
    </x:row>
    <x:row r="188" ht="64" customHeight="1">
      <x:c r="A188" s="18" t="n">
        <x:v>172</x:v>
      </x:c>
      <x:c r="B188" s="18" t="str">
        <x:v>Seguro de desempleo de Brasil</x:v>
      </x:c>
      <x:c r="C188" s="18" t="str">
        <x:v>calculadora seguro desemprego</x:v>
      </x:c>
      <x:c r="D188" s="19" t="n">
        <x:v>27100</x:v>
      </x:c>
      <x:c r="E188" s="18" t="str">
        <x:v>Inferior a 240.000</x:v>
      </x:c>
      <x:c r="F188" s="18" t="str">
        <x:v>Reserva: NO cumple demanda autorizada</x:v>
      </x:c>
      <x:c r="G188" s="18" t="str">
        <x:v>Finanzas</x:v>
      </x:c>
      <x:c r="H188" s="18" t="str">
        <x:v>https://tools.usefulverse.com/tools/brazil-unemployment-benefit/</x:v>
      </x:c>
      <x:c r="I188" s="18" t="str">
        <x:v>Estimar cuotas y cuantía según salarios, historial y tabla vigente.</x:v>
      </x:c>
      <x:c r="J188" s="18" t="str">
        <x:v>norway-unemployment-benefit-calculator aplica NAV; reglas de Brasil independientes.</x:v>
      </x:c>
      <x:c r="K188" s="18" t="str">
        <x:v>Fuentes oficiales y criterios de elegibilidad visibles.</x:v>
      </x:c>
      <x:c r="L188" s="18" t="str">
        <x:v>Cálculo/editor/juego local propuesto</x:v>
      </x:c>
      <x:c r="M188" s="18" t="str">
        <x:v>Alta: normativa y tablas por ejercicio</x:v>
      </x:c>
      <x:c r="N188" s="18" t="str">
        <x:v>Interfaz en 37 idiomas; idioma no elige país ni reglas. Jurisdicción y año visibles; fuentes oficiales del país.</x:v>
      </x:c>
      <x:c r="O188" s="18" t="str">
        <x:v>global-candidates.json</x:v>
      </x:c>
      <x:c r="P188" s="18" t="str">
        <x:v>2025-10 / 2026-09</x:v>
      </x:c>
      <x:c r="Q188" s="18" t="str">
        <x:v>L</x:v>
      </x:c>
      <x:c r="R188" s="18" t="str">
        <x:v>UV0872</x:v>
      </x:c>
      <x:c r="S188" s="18" t="str">
        <x:v>https://www.gov.br/trabalho-e-emprego/pt-br/acesso-a-informacao/acoes-e-programas/programas-projetos-acoes-obras-e-atividades/proteja/duvidas-frequentes</x:v>
      </x:c>
    </x:row>
    <x:row r="189" ht="64" customHeight="1">
      <x:c r="A189" s="18" t="n">
        <x:v>173</x:v>
      </x:c>
      <x:c r="B189" s="18" t="str">
        <x:v>Comprobador de enlaces rotos</x:v>
      </x:c>
      <x:c r="C189" s="18" t="str">
        <x:v>broken link checker</x:v>
      </x:c>
      <x:c r="D189" s="19" t="n">
        <x:v>27100</x:v>
      </x:c>
      <x:c r="E189" s="18" t="str">
        <x:v>Inferior a 240.000</x:v>
      </x:c>
      <x:c r="F189" s="18" t="str">
        <x:v>Reserva: NO cumple demanda autorizada</x:v>
      </x:c>
      <x:c r="G189" s="18" t="str">
        <x:v>Desarrollo</x:v>
      </x:c>
      <x:c r="H189" s="18" t="str">
        <x:v>https://tools.usefulverse.com/tools/broken-link-checker/</x:v>
      </x:c>
      <x:c r="I189" s="18" t="str">
        <x:v>Extraer enlaces de HTML o un sitio autorizado y clasificar respuestas y fallos.</x:v>
      </x:c>
      <x:c r="J189" s="18" t="str">
        <x:v>sitemap-validator solo valida XML; no revisa destinos de enlaces.</x:v>
      </x:c>
      <x:c r="K189" s="18" t="str">
        <x:v>CORS y coste de rastreo resueltos antes de habilitar comprobación remota.</x:v>
      </x:c>
      <x:c r="L189" s="18" t="str">
        <x:v>Servicio/datos externos: condiciones y cuotas pendientes</x:v>
      </x:c>
      <x:c r="M189" s="18" t="str">
        <x:v>Datos: revisar fuente, licencia y cadencia</x:v>
      </x:c>
      <x:c r="N189" s="18" t="str">
        <x:v>Interfaz en 37 idiomas; idioma no elige país ni reglas. Formatos Intl, RTL y datos/lexicón de idioma con cobertura explícita.</x:v>
      </x:c>
      <x:c r="O189" s="18" t="str">
        <x:v>global-candidates.json</x:v>
      </x:c>
      <x:c r="P189" s="18" t="str">
        <x:v>2025-10 / 2026-09</x:v>
      </x:c>
      <x:c r="Q189" s="18" t="str">
        <x:v>L</x:v>
      </x:c>
      <x:c r="R189" s="18" t="str">
        <x:v>UV0873</x:v>
      </x:c>
      <x:c r="S189" s="18" t="str">
        <x:v>Pendiente de fuente específica antes de implementar</x:v>
      </x:c>
    </x:row>
    <x:row r="190" ht="64" customHeight="1">
      <x:c r="A190" s="18" t="n">
        <x:v>174</x:v>
      </x:c>
      <x:c r="B190" s="18" t="str">
        <x:v>Simulador de aparcamiento</x:v>
      </x:c>
      <x:c r="C190" s="18" t="str">
        <x:v>car parking game</x:v>
      </x:c>
      <x:c r="D190" s="19" t="n">
        <x:v>27100</x:v>
      </x:c>
      <x:c r="E190" s="18" t="str">
        <x:v>Inferior a 240.000</x:v>
      </x:c>
      <x:c r="F190" s="18" t="str">
        <x:v>Reserva: NO cumple demanda autorizada</x:v>
      </x:c>
      <x:c r="G190" s="18" t="str">
        <x:v>Juegos</x:v>
      </x:c>
      <x:c r="H190" s="18" t="str">
        <x:v>https://tools.usefulverse.com/tools/car-parking-simulator/</x:v>
      </x:c>
      <x:c r="I190" s="18" t="str">
        <x:v>Maniobrar un coche en plazas y superar ejercicios sin colisiones.</x:v>
      </x:c>
      <x:c r="J190" s="18" t="str">
        <x:v>No hay simulación de conducción; no contar skins de coches como nuevas herramientas.</x:v>
      </x:c>
      <x:c r="K190" s="18" t="str">
        <x:v>Escenarios propios y controles locales.</x:v>
      </x:c>
      <x:c r="L190" s="18" t="str">
        <x:v>Cálculo/editor/juego local propuesto</x:v>
      </x:c>
      <x:c r="M190" s="18" t="str">
        <x:v>Revisar motor, recursos y dependencias</x:v>
      </x:c>
      <x:c r="N190" s="18" t="str">
        <x:v>Interfaz en 37 idiomas; idioma no elige país ni reglas. Reglas y variante elegibles; ayudas claras y arte propio.</x:v>
      </x:c>
      <x:c r="O190" s="18" t="str">
        <x:v>global-candidates.json</x:v>
      </x:c>
      <x:c r="P190" s="18" t="str">
        <x:v>2025-10 / 2026-09</x:v>
      </x:c>
      <x:c r="Q190" s="18" t="str">
        <x:v>M</x:v>
      </x:c>
      <x:c r="R190" s="18" t="str">
        <x:v>UV0874</x:v>
      </x:c>
      <x:c r="S190" s="18" t="str">
        <x:v>Pendiente de fuente específica antes de implementar</x:v>
      </x:c>
    </x:row>
    <x:row r="191" ht="64" customHeight="1">
      <x:c r="A191" s="18" t="n">
        <x:v>175</x:v>
      </x:c>
      <x:c r="B191" s="18" t="str">
        <x:v>Preguntas a documentos propios</x:v>
      </x:c>
      <x:c r="C191" s="18" t="str">
        <x:v>pdf ai</x:v>
      </x:c>
      <x:c r="D191" s="19" t="n">
        <x:v>27100</x:v>
      </x:c>
      <x:c r="E191" s="18" t="str">
        <x:v>Inferior a 240.000</x:v>
      </x:c>
      <x:c r="F191" s="18" t="str">
        <x:v>Reserva: NO cumple demanda autorizada</x:v>
      </x:c>
      <x:c r="G191" s="18" t="str">
        <x:v>Trabajo</x:v>
      </x:c>
      <x:c r="H191" s="18" t="str">
        <x:v>https://tools.usefulverse.com/tools/chat-with-documents/</x:v>
      </x:c>
      <x:c r="I191" s="18" t="str">
        <x:v>Indexar documentos locales, responder preguntas y citar fragmentos verificables.</x:v>
      </x:c>
      <x:c r="J191" s="18" t="str">
        <x:v>pdf-ocr extrae texto y text-summarizer resume; aquí hay recuperación y respuesta con citas.</x:v>
      </x:c>
      <x:c r="K191" s="18" t="str">
        <x:v>Modelos locales, citas comprobadas y abstención cuando el documento no respalda la respuesta.</x:v>
      </x:c>
      <x:c r="L191" s="18" t="str">
        <x:v>Modelo local: licencia y rendimiento pendientes</x:v>
      </x:c>
      <x:c r="M191" s="18" t="str">
        <x:v>Revisar motor, recursos y dependencias</x:v>
      </x:c>
      <x:c r="N191" s="18" t="str">
        <x:v>Interfaz en 37 idiomas; idioma no elige país ni reglas. Formatos Intl, RTL y datos/lexicón de idioma con cobertura explícita.</x:v>
      </x:c>
      <x:c r="O191" s="18" t="str">
        <x:v>global-extras.json</x:v>
      </x:c>
      <x:c r="P191" s="18" t="str">
        <x:v>2025-10 / 2026-09</x:v>
      </x:c>
      <x:c r="Q191" s="18" t="str">
        <x:v>L</x:v>
      </x:c>
      <x:c r="R191" s="18" t="str">
        <x:v>UV0875</x:v>
      </x:c>
      <x:c r="S191" s="18" t="str">
        <x:v>https://github.com/huggingface/transformers.js</x:v>
      </x:c>
    </x:row>
    <x:row r="192" ht="64" customHeight="1">
      <x:c r="A192" s="18" t="n">
        <x:v>176</x:v>
      </x:c>
      <x:c r="B192" s="18" t="str">
        <x:v>HbA1c y glucemia media estimada</x:v>
      </x:c>
      <x:c r="C192" s="18" t="str">
        <x:v>a1c calculator</x:v>
      </x:c>
      <x:c r="D192" s="19" t="n">
        <x:v>27100</x:v>
      </x:c>
      <x:c r="E192" s="18" t="str">
        <x:v>Inferior a 240.000</x:v>
      </x:c>
      <x:c r="F192" s="18" t="str">
        <x:v>Reserva: NO cumple demanda autorizada</x:v>
      </x:c>
      <x:c r="G192" s="18" t="str">
        <x:v>Bienestar</x:v>
      </x:c>
      <x:c r="H192" s="18" t="str">
        <x:v>https://tools.usefulverse.com/tools/hba1c-eag-calculator/</x:v>
      </x:c>
      <x:c r="I192" s="18" t="str">
        <x:v>Estimar glucemia media a partir de HbA1c con incertidumbre y conversión de unidades.</x:v>
      </x:c>
      <x:c r="J192" s="18" t="str">
        <x:v>unit-converter no transforma un marcador biológico en una estimación estadística.</x:v>
      </x:c>
      <x:c r="K192" s="18" t="str">
        <x:v>Relación clínica citada; no pauta de tratamiento.</x:v>
      </x:c>
      <x:c r="L192" s="18" t="str">
        <x:v>Cálculo/editor/juego local propuesto</x:v>
      </x:c>
      <x:c r="M192" s="18" t="str">
        <x:v>Revisar motor, recursos y dependencias</x:v>
      </x:c>
      <x:c r="N192" s="18" t="str">
        <x:v>Interfaz en 37 idiomas; idioma no elige país ni reglas. Formatos Intl, RTL y datos/lexicón de idioma con cobertura explícita.</x:v>
      </x:c>
      <x:c r="O192" s="18" t="str">
        <x:v>global-candidates.json</x:v>
      </x:c>
      <x:c r="P192" s="18" t="str">
        <x:v>2025-10 / 2026-09</x:v>
      </x:c>
      <x:c r="Q192" s="18" t="str">
        <x:v>L</x:v>
      </x:c>
      <x:c r="R192" s="18" t="str">
        <x:v>UV0876</x:v>
      </x:c>
      <x:c r="S192" s="18" t="str">
        <x:v>Pendiente de fuente específica antes de implementar</x:v>
      </x:c>
    </x:row>
    <x:row r="193" ht="64" customHeight="1">
      <x:c r="A193" s="18" t="n">
        <x:v>177</x:v>
      </x:c>
      <x:c r="B193" s="18" t="str">
        <x:v>Janggi</x:v>
      </x:c>
      <x:c r="C193" s="18" t="str">
        <x:v>장기</x:v>
      </x:c>
      <x:c r="D193" s="19" t="n">
        <x:v>27100</x:v>
      </x:c>
      <x:c r="E193" s="18" t="str">
        <x:v>Inferior a 240.000</x:v>
      </x:c>
      <x:c r="F193" s="18" t="str">
        <x:v>Reserva: NO cumple demanda autorizada</x:v>
      </x:c>
      <x:c r="G193" s="18" t="str">
        <x:v>Juegos</x:v>
      </x:c>
      <x:c r="H193" s="18" t="str">
        <x:v>https://tools.usefulverse.com/tools/janggi/</x:v>
      </x:c>
      <x:c r="I193" s="18" t="str">
        <x:v>Jugar ajedrez coreano con palacios diagonales y movimientos propios.</x:v>
      </x:c>
      <x:c r="J193" s="18" t="str">
        <x:v>xiangqi tiene río y restricciones distintas; no es cambio de idioma o aspecto.</x:v>
      </x:c>
      <x:c r="K193" s="18" t="str">
        <x:v>Reglas completas y revisión de independencia mecánica.</x:v>
      </x:c>
      <x:c r="L193" s="18" t="str">
        <x:v>Cálculo/editor/juego local propuesto</x:v>
      </x:c>
      <x:c r="M193" s="18" t="str">
        <x:v>Revisar motor, recursos y dependencias</x:v>
      </x:c>
      <x:c r="N193" s="18" t="str">
        <x:v>Interfaz en 37 idiomas; idioma no elige país ni reglas. Reglas y variante elegibles; ayudas claras y arte propio.</x:v>
      </x:c>
      <x:c r="O193" s="18" t="str">
        <x:v>global-candidates.json</x:v>
      </x:c>
      <x:c r="P193" s="18" t="str">
        <x:v>2025-10 / 2026-09</x:v>
      </x:c>
      <x:c r="Q193" s="18" t="str">
        <x:v>M</x:v>
      </x:c>
      <x:c r="R193" s="18" t="str">
        <x:v>UV0877</x:v>
      </x:c>
      <x:c r="S193" s="18" t="str">
        <x:v>Pendiente de fuente específica antes de implementar</x:v>
      </x:c>
    </x:row>
    <x:row r="194" ht="64" customHeight="1">
      <x:c r="A194" s="18" t="n">
        <x:v>178</x:v>
      </x:c>
      <x:c r="B194" s="18" t="str">
        <x:v>Aguinaldo de México</x:v>
      </x:c>
      <x:c r="C194" s="18" t="str">
        <x:v>calculadora aguinaldo</x:v>
      </x:c>
      <x:c r="D194" s="19" t="n">
        <x:v>27100</x:v>
      </x:c>
      <x:c r="E194" s="18" t="str">
        <x:v>Inferior a 240.000</x:v>
      </x:c>
      <x:c r="F194" s="18" t="str">
        <x:v>Reserva: NO cumple demanda autorizada</x:v>
      </x:c>
      <x:c r="G194" s="18" t="str">
        <x:v>Finanzas</x:v>
      </x:c>
      <x:c r="H194" s="18" t="str">
        <x:v>https://tools.usefulverse.com/tools/mexico-aguinaldo/</x:v>
      </x:c>
      <x:c r="I194" s="18" t="str">
        <x:v>Estimar devengo proporcional y parte gravada o exenta con días pactados.</x:v>
      </x:c>
      <x:c r="J194" s="18" t="str">
        <x:v>brazil-thirteenth-salary usa reglas, cuotas y retenciones distintas.</x:v>
      </x:c>
      <x:c r="K194" s="18" t="str">
        <x:v>Ley y UMA oficiales del año, no asumir mínimos para todo convenio.</x:v>
      </x:c>
      <x:c r="L194" s="18" t="str">
        <x:v>Cálculo/editor/juego local propuesto</x:v>
      </x:c>
      <x:c r="M194" s="18" t="str">
        <x:v>Alta: normativa y tablas por ejercicio</x:v>
      </x:c>
      <x:c r="N194" s="18" t="str">
        <x:v>Interfaz en 37 idiomas; idioma no elige país ni reglas. Jurisdicción y año visibles; fuentes oficiales del país.</x:v>
      </x:c>
      <x:c r="O194" s="18" t="str">
        <x:v>global-candidates.json</x:v>
      </x:c>
      <x:c r="P194" s="18" t="str">
        <x:v>2025-10 / 2026-09</x:v>
      </x:c>
      <x:c r="Q194" s="18" t="str">
        <x:v>L</x:v>
      </x:c>
      <x:c r="R194" s="18" t="str">
        <x:v>UV0878</x:v>
      </x:c>
      <x:c r="S194" s="18" t="str">
        <x:v>Pendiente de fuente específica antes de implementar</x:v>
      </x:c>
    </x:row>
    <x:row r="195" ht="64" customHeight="1">
      <x:c r="A195" s="18" t="n">
        <x:v>179</x:v>
      </x:c>
      <x:c r="B195" s="18" t="str">
        <x:v>ISR de México</x:v>
      </x:c>
      <x:c r="C195" s="18" t="str">
        <x:v>calculadora isr</x:v>
      </x:c>
      <x:c r="D195" s="19" t="n">
        <x:v>27100</x:v>
      </x:c>
      <x:c r="E195" s="18" t="str">
        <x:v>Inferior a 240.000</x:v>
      </x:c>
      <x:c r="F195" s="18" t="str">
        <x:v>Reserva: NO cumple demanda autorizada</x:v>
      </x:c>
      <x:c r="G195" s="18" t="str">
        <x:v>Finanzas</x:v>
      </x:c>
      <x:c r="H195" s="18" t="str">
        <x:v>https://tools.usefulverse.com/tools/mexico-income-tax/</x:v>
      </x:c>
      <x:c r="I195" s="18" t="str">
        <x:v>Aplicar tarifa y subsidio con periodicidad y base gravable del ejercicio.</x:v>
      </x:c>
      <x:c r="J195" s="18" t="str">
        <x:v>tax-calculator no aplica cuotas fijas y excedentes del ISR.</x:v>
      </x:c>
      <x:c r="K195" s="18" t="str">
        <x:v>Tablas SAT oficiales y periodo correcto.</x:v>
      </x:c>
      <x:c r="L195" s="18" t="str">
        <x:v>Cálculo/editor/juego local propuesto</x:v>
      </x:c>
      <x:c r="M195" s="18" t="str">
        <x:v>Alta: normativa y tablas por ejercicio</x:v>
      </x:c>
      <x:c r="N195" s="18" t="str">
        <x:v>Interfaz en 37 idiomas; idioma no elige país ni reglas. Jurisdicción y año visibles; fuentes oficiales del país.</x:v>
      </x:c>
      <x:c r="O195" s="18" t="str">
        <x:v>global-candidates.json</x:v>
      </x:c>
      <x:c r="P195" s="18" t="str">
        <x:v>2025-10 / 2026-09</x:v>
      </x:c>
      <x:c r="Q195" s="18" t="str">
        <x:v>L</x:v>
      </x:c>
      <x:c r="R195" s="18" t="str">
        <x:v>UV0879</x:v>
      </x:c>
      <x:c r="S195" s="18" t="str">
        <x:v>Pendiente de fuente específica antes de implementar</x:v>
      </x:c>
    </x:row>
    <x:row r="196" ht="64" customHeight="1">
      <x:c r="A196" s="18" t="n">
        <x:v>180</x:v>
      </x:c>
      <x:c r="B196" s="18" t="str">
        <x:v>Peso durante el embarazo</x:v>
      </x:c>
      <x:c r="C196" s="18" t="str">
        <x:v>pregnancy weight gain calculator</x:v>
      </x:c>
      <x:c r="D196" s="19" t="n">
        <x:v>27100</x:v>
      </x:c>
      <x:c r="E196" s="18" t="str">
        <x:v>Inferior a 240.000</x:v>
      </x:c>
      <x:c r="F196" s="18" t="str">
        <x:v>Reserva: NO cumple demanda autorizada</x:v>
      </x:c>
      <x:c r="G196" s="18" t="str">
        <x:v>Bienestar</x:v>
      </x:c>
      <x:c r="H196" s="18" t="str">
        <x:v>https://tools.usefulverse.com/tools/pregnancy-weight-gain/</x:v>
      </x:c>
      <x:c r="I196" s="18" t="str">
        <x:v>Comparar una trayectoria de peso con una guía elegida y semana de embarazo.</x:v>
      </x:c>
      <x:c r="J196" s="18" t="str">
        <x:v>weight-loss-calculator estima pérdida de peso; no es adecuado para embarazo.</x:v>
      </x:c>
      <x:c r="K196" s="18" t="str">
        <x:v>Guías actuales y selección de embarazo único o múltiple; orientación no individualizada.</x:v>
      </x:c>
      <x:c r="L196" s="18" t="str">
        <x:v>Cálculo/editor/juego local propuesto</x:v>
      </x:c>
      <x:c r="M196" s="18" t="str">
        <x:v>Revisar motor, recursos y dependencias</x:v>
      </x:c>
      <x:c r="N196" s="18" t="str">
        <x:v>Interfaz en 37 idiomas; idioma no elige país ni reglas. Formatos Intl, RTL y datos/lexicón de idioma con cobertura explícita.</x:v>
      </x:c>
      <x:c r="O196" s="18" t="str">
        <x:v>global-candidates.json</x:v>
      </x:c>
      <x:c r="P196" s="18" t="str">
        <x:v>2025-10 / 2026-09</x:v>
      </x:c>
      <x:c r="Q196" s="18" t="str">
        <x:v>L</x:v>
      </x:c>
      <x:c r="R196" s="18" t="str">
        <x:v>UV0880</x:v>
      </x:c>
      <x:c r="S196" s="18" t="str">
        <x:v>Pendiente de fuente específica antes de implementar</x:v>
      </x:c>
    </x:row>
    <x:row r="197" ht="64" customHeight="1">
      <x:c r="A197" s="18" t="n">
        <x:v>181</x:v>
      </x:c>
      <x:c r="B197" s="18" t="str">
        <x:v>Cribado de estrés postraumático</x:v>
      </x:c>
      <x:c r="C197" s="18" t="str">
        <x:v>pcl5</x:v>
      </x:c>
      <x:c r="D197" s="19" t="n">
        <x:v>27100</x:v>
      </x:c>
      <x:c r="E197" s="18" t="str">
        <x:v>Inferior a 240.000</x:v>
      </x:c>
      <x:c r="F197" s="18" t="str">
        <x:v>Reserva: NO cumple demanda autorizada</x:v>
      </x:c>
      <x:c r="G197" s="18" t="str">
        <x:v>Bienestar</x:v>
      </x:c>
      <x:c r="H197" s="18" t="str">
        <x:v>https://tools.usefulverse.com/tools/ptsd-questionnaire/</x:v>
      </x:c>
      <x:c r="I197" s="18" t="str">
        <x:v>Completar un instrumento autorizado y mostrar puntuación orientativa y recursos.</x:v>
      </x:c>
      <x:c r="J197" s="18" t="str">
        <x:v>GAD-7 no evalúa el conjunto de síntomas postraumáticos.</x:v>
      </x:c>
      <x:c r="K197" s="18" t="str">
        <x:v>Fuentes clínicas primarias, licencia y traducciones autorizadas.</x:v>
      </x:c>
      <x:c r="L197" s="18" t="str">
        <x:v>Cálculo/editor/juego local propuesto</x:v>
      </x:c>
      <x:c r="M197" s="18" t="str">
        <x:v>Revisar motor, recursos y dependencias</x:v>
      </x:c>
      <x:c r="N197" s="18" t="str">
        <x:v>Interfaz en 37 idiomas; idioma no elige país ni reglas. Formatos Intl, RTL y datos/lexicón de idioma con cobertura explícita.</x:v>
      </x:c>
      <x:c r="O197" s="18" t="str">
        <x:v>global-candidates.json</x:v>
      </x:c>
      <x:c r="P197" s="18" t="str">
        <x:v>2025-10 / 2026-09</x:v>
      </x:c>
      <x:c r="Q197" s="18" t="str">
        <x:v>L</x:v>
      </x:c>
      <x:c r="R197" s="18" t="str">
        <x:v>UV0881</x:v>
      </x:c>
      <x:c r="S197" s="18" t="str">
        <x:v>Pendiente de fuente específica antes de implementar</x:v>
      </x:c>
    </x:row>
    <x:row r="198" ht="64" customHeight="1">
      <x:c r="A198" s="18" t="n">
        <x:v>182</x:v>
      </x:c>
      <x:c r="B198" s="18" t="str">
        <x:v>CPF de Singapur</x:v>
      </x:c>
      <x:c r="C198" s="18" t="str">
        <x:v>cpf calculator</x:v>
      </x:c>
      <x:c r="D198" s="19" t="n">
        <x:v>27100</x:v>
      </x:c>
      <x:c r="E198" s="18" t="str">
        <x:v>Inferior a 240.000</x:v>
      </x:c>
      <x:c r="F198" s="18" t="str">
        <x:v>Reserva: NO cumple demanda autorizada</x:v>
      </x:c>
      <x:c r="G198" s="18" t="str">
        <x:v>Finanzas</x:v>
      </x:c>
      <x:c r="H198" s="18" t="str">
        <x:v>https://tools.usefulverse.com/tools/singapore-cpf/</x:v>
      </x:c>
      <x:c r="I198" s="18" t="str">
        <x:v>Desglosar contribución y cuentas según edad, residencia y bases salariales.</x:v>
      </x:c>
      <x:c r="J198" s="18" t="str">
        <x:v>No hay contribuciones CPF ni sus techos y asignaciones.</x:v>
      </x:c>
      <x:c r="K198" s="18" t="str">
        <x:v>Tablas oficiales y supuestos por estado de residencia.</x:v>
      </x:c>
      <x:c r="L198" s="18" t="str">
        <x:v>Cálculo/editor/juego local propuesto</x:v>
      </x:c>
      <x:c r="M198" s="18" t="str">
        <x:v>Alta: normativa y tablas por ejercicio</x:v>
      </x:c>
      <x:c r="N198" s="18" t="str">
        <x:v>Interfaz en 37 idiomas; idioma no elige país ni reglas. Jurisdicción y año visibles; fuentes oficiales del país.</x:v>
      </x:c>
      <x:c r="O198" s="18" t="str">
        <x:v>global-candidates.json</x:v>
      </x:c>
      <x:c r="P198" s="18" t="str">
        <x:v>2025-10 / 2026-09</x:v>
      </x:c>
      <x:c r="Q198" s="18" t="str">
        <x:v>L</x:v>
      </x:c>
      <x:c r="R198" s="18" t="str">
        <x:v>UV0882</x:v>
      </x:c>
      <x:c r="S198" s="18" t="str">
        <x:v>Pendiente de fuente específica antes de implementar</x:v>
      </x:c>
    </x:row>
    <x:row r="199" ht="64" customHeight="1">
      <x:c r="A199" s="18" t="n">
        <x:v>183</x:v>
      </x:c>
      <x:c r="B199" s="18" t="str">
        <x:v>Renta de Taiwán</x:v>
      </x:c>
      <x:c r="C199" s="18" t="str">
        <x:v>所得稅試算</x:v>
      </x:c>
      <x:c r="D199" s="19" t="n">
        <x:v>27100</x:v>
      </x:c>
      <x:c r="E199" s="18" t="str">
        <x:v>Inferior a 240.000</x:v>
      </x:c>
      <x:c r="F199" s="18" t="str">
        <x:v>Reserva: NO cumple demanda autorizada</x:v>
      </x:c>
      <x:c r="G199" s="18" t="str">
        <x:v>Finanzas</x:v>
      </x:c>
      <x:c r="H199" s="18" t="str">
        <x:v>https://tools.usefulverse.com/tools/taiwan-income-tax/</x:v>
      </x:c>
      <x:c r="I199" s="18" t="str">
        <x:v>Estimar renta con exenciones, deducciones y alternativas soportadas del hogar.</x:v>
      </x:c>
      <x:c r="J199" s="18" t="str">
        <x:v>No compartir reglas de China por usar escritura china; sistema fiscal independiente.</x:v>
      </x:c>
      <x:c r="K199" s="18" t="str">
        <x:v>Fuentes oficiales locales y año fiscal.</x:v>
      </x:c>
      <x:c r="L199" s="18" t="str">
        <x:v>Cálculo/editor/juego local propuesto</x:v>
      </x:c>
      <x:c r="M199" s="18" t="str">
        <x:v>Alta: normativa y tablas por ejercicio</x:v>
      </x:c>
      <x:c r="N199" s="18" t="str">
        <x:v>Interfaz en 37 idiomas; idioma no elige país ni reglas. Jurisdicción y año visibles; fuentes oficiales del país.</x:v>
      </x:c>
      <x:c r="O199" s="18" t="str">
        <x:v>global-candidates.json</x:v>
      </x:c>
      <x:c r="P199" s="18" t="str">
        <x:v>2025-10 / 2026-09</x:v>
      </x:c>
      <x:c r="Q199" s="18" t="str">
        <x:v>L</x:v>
      </x:c>
      <x:c r="R199" s="18" t="str">
        <x:v>UV0883</x:v>
      </x:c>
      <x:c r="S199" s="18" t="str">
        <x:v>Pendiente de fuente específica antes de implementar</x:v>
      </x:c>
    </x:row>
    <x:row r="200" ht="64" customHeight="1">
      <x:c r="A200" s="18" t="n">
        <x:v>184</x:v>
      </x:c>
      <x:c r="B200" s="18" t="str">
        <x:v>Diagramas de conjuntos</x:v>
      </x:c>
      <x:c r="C200" s="18" t="str">
        <x:v>venn diagram maker</x:v>
      </x:c>
      <x:c r="D200" s="19" t="n">
        <x:v>27100</x:v>
      </x:c>
      <x:c r="E200" s="18" t="str">
        <x:v>Inferior a 240.000</x:v>
      </x:c>
      <x:c r="F200" s="18" t="str">
        <x:v>Reserva: NO cumple demanda autorizada</x:v>
      </x:c>
      <x:c r="G200" s="18" t="str">
        <x:v>Ciencia</x:v>
      </x:c>
      <x:c r="H200" s="18" t="str">
        <x:v>https://tools.usefulverse.com/tools/venn-diagram-maker/</x:v>
      </x:c>
      <x:c r="I200" s="18" t="str">
        <x:v>Construir conjuntos con elementos y obtener regiones e intersecciones editables.</x:v>
      </x:c>
      <x:c r="J200" s="18" t="str">
        <x:v>probability-calculator opera con probabilidades dadas; diagram-maker no modela pertenencia.</x:v>
      </x:c>
      <x:c r="K200" s="18" t="str">
        <x:v>Un solo producto para dos o más conjuntos, sin variantes por cantidad.</x:v>
      </x:c>
      <x:c r="L200" s="18" t="str">
        <x:v>Cálculo/editor/juego local propuesto</x:v>
      </x:c>
      <x:c r="M200" s="18" t="str">
        <x:v>Revisar motor, recursos y dependencias</x:v>
      </x:c>
      <x:c r="N200" s="18" t="str">
        <x:v>Interfaz en 37 idiomas; idioma no elige país ni reglas. Formatos Intl, RTL y datos/lexicón de idioma con cobertura explícita.</x:v>
      </x:c>
      <x:c r="O200" s="18" t="str">
        <x:v>global-initial-screen.json</x:v>
      </x:c>
      <x:c r="P200" s="18" t="str">
        <x:v>2025-10 / 2026-09</x:v>
      </x:c>
      <x:c r="Q200" s="18" t="str">
        <x:v>M</x:v>
      </x:c>
      <x:c r="R200" s="18" t="str">
        <x:v>UV0884</x:v>
      </x:c>
      <x:c r="S200" s="18" t="str">
        <x:v>Pendiente de fuente específica antes de implementar</x:v>
      </x:c>
    </x:row>
    <x:row r="201" ht="64" customHeight="1">
      <x:c r="A201" s="18" t="n">
        <x:v>185</x:v>
      </x:c>
      <x:c r="B201" s="18" t="str">
        <x:v>Saldo y retiro FGTS</x:v>
      </x:c>
      <x:c r="C201" s="18" t="str">
        <x:v>calculadora fgts</x:v>
      </x:c>
      <x:c r="D201" s="19" t="n">
        <x:v>22200</x:v>
      </x:c>
      <x:c r="E201" s="18" t="str">
        <x:v>Inferior a 240.000</x:v>
      </x:c>
      <x:c r="F201" s="18" t="str">
        <x:v>Reserva: NO cumple demanda autorizada</x:v>
      </x:c>
      <x:c r="G201" s="18" t="str">
        <x:v>Finanzas</x:v>
      </x:c>
      <x:c r="H201" s="18" t="str">
        <x:v>https://tools.usefulverse.com/tools/brazil-fgts-calculator/</x:v>
      </x:c>
      <x:c r="I201" s="18" t="str">
        <x:v>Estimar depósitos y escenarios de retiro según reglas y saldo aportados.</x:v>
      </x:c>
      <x:c r="J201" s="18" t="str">
        <x:v>compound-interest-calculator no aplica derechos de retiro y escalas FGTS.</x:v>
      </x:c>
      <x:c r="K201" s="18" t="str">
        <x:v>Fuente oficial y modalidad seleccionada; sin conexión bancaria.</x:v>
      </x:c>
      <x:c r="L201" s="18" t="str">
        <x:v>Cálculo/editor/juego local propuesto</x:v>
      </x:c>
      <x:c r="M201" s="18" t="str">
        <x:v>Alta: normativa y tablas por ejercicio</x:v>
      </x:c>
      <x:c r="N201" s="18" t="str">
        <x:v>Interfaz en 37 idiomas; idioma no elige país ni reglas. Jurisdicción y año visibles; fuentes oficiales del país.</x:v>
      </x:c>
      <x:c r="O201" s="18" t="str">
        <x:v>global-candidates.json</x:v>
      </x:c>
      <x:c r="P201" s="18" t="str">
        <x:v>2025-10 / 2026-09</x:v>
      </x:c>
      <x:c r="Q201" s="18" t="str">
        <x:v>L</x:v>
      </x:c>
      <x:c r="R201" s="18" t="str">
        <x:v>UV0885</x:v>
      </x:c>
      <x:c r="S201" s="18" t="str">
        <x:v>https://www.gov.br/trabalho-e-emprego/pt-br/acesso-a-informacao/acoes-e-programas/programas-projetos-acoes-obras-e-atividades/proteja/duvidas-frequentes</x:v>
      </x:c>
    </x:row>
    <x:row r="202" ht="64" customHeight="1">
      <x:c r="A202" s="18" t="n">
        <x:v>186</x:v>
      </x:c>
      <x:c r="B202" s="18" t="str">
        <x:v>Hojas de caligrafía</x:v>
      </x:c>
      <x:c r="C202" s="18" t="str">
        <x:v>handwriting worksheets</x:v>
      </x:c>
      <x:c r="D202" s="19" t="n">
        <x:v>22200</x:v>
      </x:c>
      <x:c r="E202" s="18" t="str">
        <x:v>Inferior a 240.000</x:v>
      </x:c>
      <x:c r="F202" s="18" t="str">
        <x:v>Reserva: NO cumple demanda autorizada</x:v>
      </x:c>
      <x:c r="G202" s="18" t="str">
        <x:v>Creatividad</x:v>
      </x:c>
      <x:c r="H202" s="18" t="str">
        <x:v>https://tools.usefulverse.com/tools/calligraphy-worksheet/</x:v>
      </x:c>
      <x:c r="I202" s="18" t="str">
        <x:v>Generar pautas y trazos a partir del texto y estilo de escritura elegidos.</x:v>
      </x:c>
      <x:c r="J202" s="18" t="str">
        <x:v>graph-paper-generator no modela trazos ni guías de escritura.</x:v>
      </x:c>
      <x:c r="K202" s="18" t="str">
        <x:v>Fuentes con permiso de redistribución y alfabetos seleccionables.</x:v>
      </x:c>
      <x:c r="L202" s="18" t="str">
        <x:v>Cálculo/editor/juego local propuesto</x:v>
      </x:c>
      <x:c r="M202" s="18" t="str">
        <x:v>Revisar motor, recursos y dependencias</x:v>
      </x:c>
      <x:c r="N202" s="18" t="str">
        <x:v>Interfaz en 37 idiomas; idioma no elige país ni reglas. Formatos Intl, RTL y datos/lexicón de idioma con cobertura explícita.</x:v>
      </x:c>
      <x:c r="O202" s="18" t="str">
        <x:v>global-candidates.json</x:v>
      </x:c>
      <x:c r="P202" s="18" t="str">
        <x:v>2025-10 / 2026-09</x:v>
      </x:c>
      <x:c r="Q202" s="18" t="str">
        <x:v>M</x:v>
      </x:c>
      <x:c r="R202" s="18" t="str">
        <x:v>UV0886</x:v>
      </x:c>
      <x:c r="S202" s="18" t="str">
        <x:v>Pendiente de fuente específica antes de implementar</x:v>
      </x:c>
    </x:row>
    <x:row r="203" ht="64" customHeight="1">
      <x:c r="A203" s="18" t="n">
        <x:v>187</x:v>
      </x:c>
      <x:c r="B203" s="18" t="str">
        <x:v>Dibuja y adivina</x:v>
      </x:c>
      <x:c r="C203" s="18" t="str">
        <x:v>drawing guessing game</x:v>
      </x:c>
      <x:c r="D203" s="19" t="n">
        <x:v>22200</x:v>
      </x:c>
      <x:c r="E203" s="18" t="str">
        <x:v>Inferior a 240.000</x:v>
      </x:c>
      <x:c r="F203" s="18" t="str">
        <x:v>Reserva: NO cumple demanda autorizada</x:v>
      </x:c>
      <x:c r="G203" s="18" t="str">
        <x:v>Juegos</x:v>
      </x:c>
      <x:c r="H203" s="18" t="str">
        <x:v>https://tools.usefulverse.com/tools/draw-and-guess/</x:v>
      </x:c>
      <x:c r="I203" s="18" t="str">
        <x:v>Pasar el dispositivo, dibujar una palabra y adivinar por equipos con reloj y puntuación.</x:v>
      </x:c>
      <x:c r="J203" s="18" t="str">
        <x:v>online-paint dibuja; aquí se gestiona un juego de información oculta y turnos.</x:v>
      </x:c>
      <x:c r="K203" s="18" t="str">
        <x:v>Modo presencial local; no prometer salas online sin infraestructura.</x:v>
      </x:c>
      <x:c r="L203" s="18" t="str">
        <x:v>Cálculo/editor/juego local propuesto</x:v>
      </x:c>
      <x:c r="M203" s="18" t="str">
        <x:v>Revisar motor, recursos y dependencias</x:v>
      </x:c>
      <x:c r="N203" s="18" t="str">
        <x:v>Interfaz en 37 idiomas; idioma no elige país ni reglas. Reglas y variante elegibles; ayudas claras y arte propio.</x:v>
      </x:c>
      <x:c r="O203" s="18" t="str">
        <x:v>global-candidates.json</x:v>
      </x:c>
      <x:c r="P203" s="18" t="str">
        <x:v>2025-10 / 2026-09</x:v>
      </x:c>
      <x:c r="Q203" s="18" t="str">
        <x:v>M</x:v>
      </x:c>
      <x:c r="R203" s="18" t="str">
        <x:v>UV0887</x:v>
      </x:c>
      <x:c r="S203" s="18" t="str">
        <x:v>Pendiente de fuente específica antes de implementar</x:v>
      </x:c>
    </x:row>
    <x:row r="204" ht="64" customHeight="1">
      <x:c r="A204" s="18" t="n">
        <x:v>188</x:v>
      </x:c>
      <x:c r="B204" s="18" t="str">
        <x:v>Editor de fuentes</x:v>
      </x:c>
      <x:c r="C204" s="18" t="str">
        <x:v>font editor</x:v>
      </x:c>
      <x:c r="D204" s="19" t="n">
        <x:v>22200</x:v>
      </x:c>
      <x:c r="E204" s="18" t="str">
        <x:v>Inferior a 240.000</x:v>
      </x:c>
      <x:c r="F204" s="18" t="str">
        <x:v>Reserva: NO cumple demanda autorizada</x:v>
      </x:c>
      <x:c r="G204" s="18" t="str">
        <x:v>Creatividad</x:v>
      </x:c>
      <x:c r="H204" s="18" t="str">
        <x:v>https://tools.usefulverse.com/tools/font-editor/</x:v>
      </x:c>
      <x:c r="I204" s="18" t="str">
        <x:v>Dibujar glifos, ajustar espaciado y exportar una fuente propia.</x:v>
      </x:c>
      <x:c r="J204" s="18" t="str">
        <x:v>font-tester no edita glifos ni produce archivos tipográficos.</x:v>
      </x:c>
      <x:c r="K204" s="18" t="str">
        <x:v>Biblioteca OpenType compatible y solo fuentes con derechos de edición.</x:v>
      </x:c>
      <x:c r="L204" s="18" t="str">
        <x:v>Cálculo/editor/juego local propuesto</x:v>
      </x:c>
      <x:c r="M204" s="18" t="str">
        <x:v>Revisar motor, recursos y dependencias</x:v>
      </x:c>
      <x:c r="N204" s="18" t="str">
        <x:v>Interfaz en 37 idiomas; idioma no elige país ni reglas. Formatos Intl, RTL y datos/lexicón de idioma con cobertura explícita.</x:v>
      </x:c>
      <x:c r="O204" s="18" t="str">
        <x:v>global-candidates.json</x:v>
      </x:c>
      <x:c r="P204" s="18" t="str">
        <x:v>2025-10 / 2026-09</x:v>
      </x:c>
      <x:c r="Q204" s="18" t="str">
        <x:v>M</x:v>
      </x:c>
      <x:c r="R204" s="18" t="str">
        <x:v>UV0888</x:v>
      </x:c>
      <x:c r="S204" s="18" t="str">
        <x:v>Pendiente de fuente específica antes de implementar</x:v>
      </x:c>
    </x:row>
    <x:row r="205" ht="64" customHeight="1">
      <x:c r="A205" s="18" t="n">
        <x:v>189</x:v>
      </x:c>
      <x:c r="B205" s="18" t="str">
        <x:v>Planificador de huerto</x:v>
      </x:c>
      <x:c r="C205" s="18" t="str">
        <x:v>garden planner</x:v>
      </x:c>
      <x:c r="D205" s="19" t="n">
        <x:v>22200</x:v>
      </x:c>
      <x:c r="E205" s="18" t="str">
        <x:v>Inferior a 240.000</x:v>
      </x:c>
      <x:c r="F205" s="18" t="str">
        <x:v>Reserva: NO cumple demanda autorizada</x:v>
      </x:c>
      <x:c r="G205" s="18" t="str">
        <x:v>Vida</x:v>
      </x:c>
      <x:c r="H205" s="18" t="str">
        <x:v>https://tools.usefulverse.com/tools/garden-planner/</x:v>
      </x:c>
      <x:c r="I205" s="18" t="str">
        <x:v>Distribuir bancales, rotaciones y fechas con clima y hemisferio elegidos.</x:v>
      </x:c>
      <x:c r="J205" s="18" t="str">
        <x:v>plant-spacing-calculator calcula cantidad; no organiza rotación ni calendario de cultivos.</x:v>
      </x:c>
      <x:c r="K205" s="18" t="str">
        <x:v>Datos de cultivo abiertos y condiciones locales editables.</x:v>
      </x:c>
      <x:c r="L205" s="18" t="str">
        <x:v>Cálculo/editor/juego local propuesto</x:v>
      </x:c>
      <x:c r="M205" s="18" t="str">
        <x:v>Revisar motor, recursos y dependencias</x:v>
      </x:c>
      <x:c r="N205" s="18" t="str">
        <x:v>Interfaz en 37 idiomas; idioma no elige país ni reglas. Formatos Intl, RTL y datos/lexicón de idioma con cobertura explícita.</x:v>
      </x:c>
      <x:c r="O205" s="18" t="str">
        <x:v>global-candidates.json</x:v>
      </x:c>
      <x:c r="P205" s="18" t="str">
        <x:v>2025-10 / 2026-09</x:v>
      </x:c>
      <x:c r="Q205" s="18" t="str">
        <x:v>M</x:v>
      </x:c>
      <x:c r="R205" s="18" t="str">
        <x:v>UV0889</x:v>
      </x:c>
      <x:c r="S205" s="18" t="str">
        <x:v>Pendiente de fuente específica antes de implementar</x:v>
      </x:c>
    </x:row>
    <x:row r="206" ht="64" customHeight="1">
      <x:c r="A206" s="18" t="n">
        <x:v>190</x:v>
      </x:c>
      <x:c r="B206" s="18" t="str">
        <x:v>Editor de rutas GPX</x:v>
      </x:c>
      <x:c r="C206" s="18" t="str">
        <x:v>gpx viewer</x:v>
      </x:c>
      <x:c r="D206" s="19" t="n">
        <x:v>22200</x:v>
      </x:c>
      <x:c r="E206" s="18" t="str">
        <x:v>Inferior a 240.000</x:v>
      </x:c>
      <x:c r="F206" s="18" t="str">
        <x:v>Reserva: NO cumple demanda autorizada</x:v>
      </x:c>
      <x:c r="G206" s="18" t="str">
        <x:v>Vida</x:v>
      </x:c>
      <x:c r="H206" s="18" t="str">
        <x:v>https://tools.usefulverse.com/tools/gpx-track-editor/</x:v>
      </x:c>
      <x:c r="I206" s="18" t="str">
        <x:v>Abrir tracks, eliminar o mover puntos y recalcular distancia y elevación disponible.</x:v>
      </x:c>
      <x:c r="J206" s="18" t="str">
        <x:v>norway-toll-cost-calculator consume GPX para peajes; no edita un track general.</x:v>
      </x:c>
      <x:c r="K206" s="18" t="str">
        <x:v>Todo local y mapa con condiciones claras o fondo offline.</x:v>
      </x:c>
      <x:c r="L206" s="18" t="str">
        <x:v>Cálculo/editor/juego local propuesto</x:v>
      </x:c>
      <x:c r="M206" s="18" t="str">
        <x:v>Revisar motor, recursos y dependencias</x:v>
      </x:c>
      <x:c r="N206" s="18" t="str">
        <x:v>Interfaz en 37 idiomas; idioma no elige país ni reglas. Formatos Intl, RTL y datos/lexicón de idioma con cobertura explícita.</x:v>
      </x:c>
      <x:c r="O206" s="18" t="str">
        <x:v>global-candidates.json</x:v>
      </x:c>
      <x:c r="P206" s="18" t="str">
        <x:v>2025-10 / 2026-09</x:v>
      </x:c>
      <x:c r="Q206" s="18" t="str">
        <x:v>M</x:v>
      </x:c>
      <x:c r="R206" s="18" t="str">
        <x:v>UV0890</x:v>
      </x:c>
      <x:c r="S206" s="18" t="str">
        <x:v>Pendiente de fuente específica antes de implementar</x:v>
      </x:c>
    </x:row>
    <x:row r="207" ht="64" customHeight="1">
      <x:c r="A207" s="18" t="n">
        <x:v>191</x:v>
      </x:c>
      <x:c r="B207" s="18" t="str">
        <x:v>Salario neto de Corea</x:v>
      </x:c>
      <x:c r="C207" s="18" t="str">
        <x:v>연봉계산기</x:v>
      </x:c>
      <x:c r="D207" s="19" t="n">
        <x:v>22200</x:v>
      </x:c>
      <x:c r="E207" s="18" t="str">
        <x:v>Inferior a 240.000</x:v>
      </x:c>
      <x:c r="F207" s="18" t="str">
        <x:v>Reserva: NO cumple demanda autorizada</x:v>
      </x:c>
      <x:c r="G207" s="18" t="str">
        <x:v>Finanzas</x:v>
      </x:c>
      <x:c r="H207" s="18" t="str">
        <x:v>https://tools.usefulverse.com/tools/korea-net-salary/</x:v>
      </x:c>
      <x:c r="I207" s="18" t="str">
        <x:v>Estimar seguros sociales y retención con ingreso, dependientes y año.</x:v>
      </x:c>
      <x:c r="J207" s="18" t="str">
        <x:v>salary-to-hourly-calculator no aplica seguros ni retención coreanos.</x:v>
      </x:c>
      <x:c r="K207" s="18" t="str">
        <x:v>Tablas oficiales y supuestos de nómina claros.</x:v>
      </x:c>
      <x:c r="L207" s="18" t="str">
        <x:v>Cálculo/editor/juego local propuesto</x:v>
      </x:c>
      <x:c r="M207" s="18" t="str">
        <x:v>Alta: normativa y tablas por ejercicio</x:v>
      </x:c>
      <x:c r="N207" s="18" t="str">
        <x:v>Interfaz en 37 idiomas; idioma no elige país ni reglas. Jurisdicción y año visibles; fuentes oficiales del país.</x:v>
      </x:c>
      <x:c r="O207" s="18" t="str">
        <x:v>global-candidates.json</x:v>
      </x:c>
      <x:c r="P207" s="18" t="str">
        <x:v>2025-10 / 2026-09</x:v>
      </x:c>
      <x:c r="Q207" s="18" t="str">
        <x:v>L</x:v>
      </x:c>
      <x:c r="R207" s="18" t="str">
        <x:v>UV0891</x:v>
      </x:c>
      <x:c r="S207" s="18" t="str">
        <x:v>Pendiente de fuente específica antes de implementar</x:v>
      </x:c>
    </x:row>
    <x:row r="208" ht="64" customHeight="1">
      <x:c r="A208" s="18" t="n">
        <x:v>192</x:v>
      </x:c>
      <x:c r="B208" s="18" t="str">
        <x:v>Norinori</x:v>
      </x:c>
      <x:c r="C208" s="18" t="str">
        <x:v>norinori</x:v>
      </x:c>
      <x:c r="D208" s="19" t="n">
        <x:v>22200</x:v>
      </x:c>
      <x:c r="E208" s="18" t="str">
        <x:v>Inferior a 240.000</x:v>
      </x:c>
      <x:c r="F208" s="18" t="str">
        <x:v>Reserva: NO cumple demanda autorizada</x:v>
      </x:c>
      <x:c r="G208" s="18" t="str">
        <x:v>Juegos</x:v>
      </x:c>
      <x:c r="H208" s="18" t="str">
        <x:v>https://tools.usefulverse.com/tools/norinori-puzzle/</x:v>
      </x:c>
      <x:c r="I208" s="18" t="str">
        <x:v>Colocar dominós sombreados de dos casillas respetando cuotas por región.</x:v>
      </x:c>
      <x:c r="J208" s="18" t="str">
        <x:v>suguru-puzzle rellena números; Norinori selecciona parejas de casillas.</x:v>
      </x:c>
      <x:c r="K208" s="18" t="str">
        <x:v>Puzzles originales y comprobador.</x:v>
      </x:c>
      <x:c r="L208" s="18" t="str">
        <x:v>Cálculo/editor/juego local propuesto</x:v>
      </x:c>
      <x:c r="M208" s="18" t="str">
        <x:v>Revisar motor, recursos y dependencias</x:v>
      </x:c>
      <x:c r="N208" s="18" t="str">
        <x:v>Interfaz en 37 idiomas; idioma no elige país ni reglas. Reglas y variante elegibles; ayudas claras y arte propio.</x:v>
      </x:c>
      <x:c r="O208" s="18" t="str">
        <x:v>global-candidates.json</x:v>
      </x:c>
      <x:c r="P208" s="18" t="str">
        <x:v>2025-10 / 2026-09</x:v>
      </x:c>
      <x:c r="Q208" s="18" t="str">
        <x:v>M</x:v>
      </x:c>
      <x:c r="R208" s="18" t="str">
        <x:v>UV0892</x:v>
      </x:c>
      <x:c r="S208" s="18" t="str">
        <x:v>Pendiente de fuente específica antes de implementar</x:v>
      </x:c>
    </x:row>
    <x:row r="209" ht="64" customHeight="1">
      <x:c r="A209" s="18" t="n">
        <x:v>193</x:v>
      </x:c>
      <x:c r="B209" s="18" t="str">
        <x:v>Estimación PERT de proyectos</x:v>
      </x:c>
      <x:c r="C209" s="18" t="str">
        <x:v>pert chart</x:v>
      </x:c>
      <x:c r="D209" s="19" t="n">
        <x:v>22200</x:v>
      </x:c>
      <x:c r="E209" s="18" t="str">
        <x:v>Inferior a 240.000</x:v>
      </x:c>
      <x:c r="F209" s="18" t="str">
        <x:v>Reserva: NO cumple demanda autorizada</x:v>
      </x:c>
      <x:c r="G209" s="18" t="str">
        <x:v>Trabajo</x:v>
      </x:c>
      <x:c r="H209" s="18" t="str">
        <x:v>https://tools.usefulverse.com/tools/project-pert-estimator/</x:v>
      </x:c>
      <x:c r="I209" s="18" t="str">
        <x:v>Estimar duración por tres puntos, dependencias y ruta crítica con incertidumbre.</x:v>
      </x:c>
      <x:c r="J209" s="18" t="str">
        <x:v>gantt-chart-maker dibuja cronología; no calcula incertidumbre y ruta crítica PERT.</x:v>
      </x:c>
      <x:c r="K209" s="18" t="str">
        <x:v>Método local y diferencias entre fechas impuestas y estimadas.</x:v>
      </x:c>
      <x:c r="L209" s="18" t="str">
        <x:v>Cálculo/editor/juego local propuesto</x:v>
      </x:c>
      <x:c r="M209" s="18" t="str">
        <x:v>Revisar motor, recursos y dependencias</x:v>
      </x:c>
      <x:c r="N209" s="18" t="str">
        <x:v>Interfaz en 37 idiomas; idioma no elige país ni reglas. Formatos Intl, RTL y datos/lexicón de idioma con cobertura explícita.</x:v>
      </x:c>
      <x:c r="O209" s="18" t="str">
        <x:v>global-candidates.json</x:v>
      </x:c>
      <x:c r="P209" s="18" t="str">
        <x:v>2025-10 / 2026-09</x:v>
      </x:c>
      <x:c r="Q209" s="18" t="str">
        <x:v>M</x:v>
      </x:c>
      <x:c r="R209" s="18" t="str">
        <x:v>UV0893</x:v>
      </x:c>
      <x:c r="S209" s="18" t="str">
        <x:v>Pendiente de fuente específica antes de implementar</x:v>
      </x:c>
    </x:row>
    <x:row r="210" ht="64" customHeight="1">
      <x:c r="A210" s="18" t="n">
        <x:v>194</x:v>
      </x:c>
      <x:c r="B210" s="18" t="str">
        <x:v>Reparto de alquiler por habitaciones</x:v>
      </x:c>
      <x:c r="C210" s="18" t="str">
        <x:v>split rent</x:v>
      </x:c>
      <x:c r="D210" s="19" t="n">
        <x:v>22200</x:v>
      </x:c>
      <x:c r="E210" s="18" t="str">
        <x:v>Inferior a 240.000</x:v>
      </x:c>
      <x:c r="F210" s="18" t="str">
        <x:v>Reserva: NO cumple demanda autorizada</x:v>
      </x:c>
      <x:c r="G210" s="18" t="str">
        <x:v>Finanzas</x:v>
      </x:c>
      <x:c r="H210" s="18" t="str">
        <x:v>https://tools.usefulverse.com/tools/rent-split-calculator/</x:v>
      </x:c>
      <x:c r="I210" s="18" t="str">
        <x:v>Repartir alquiler según áreas privadas, espacios comunes y preferencias negociables.</x:v>
      </x:c>
      <x:c r="J210" s="18" t="str">
        <x:v>tip-calculator divide una cuenta por igual; no asigna uso privado y compartido.</x:v>
      </x:c>
      <x:c r="K210" s="18" t="str">
        <x:v>Método transparente, sin afirmar que existe una única distribución justa.</x:v>
      </x:c>
      <x:c r="L210" s="18" t="str">
        <x:v>Cálculo/editor/juego local propuesto</x:v>
      </x:c>
      <x:c r="M210" s="18" t="str">
        <x:v>Revisar motor, recursos y dependencias</x:v>
      </x:c>
      <x:c r="N210" s="18" t="str">
        <x:v>Interfaz en 37 idiomas; idioma no elige país ni reglas. Jurisdicción y año visibles; fuentes oficiales del país.</x:v>
      </x:c>
      <x:c r="O210" s="18" t="str">
        <x:v>global-candidates.json</x:v>
      </x:c>
      <x:c r="P210" s="18" t="str">
        <x:v>2025-10 / 2026-09</x:v>
      </x:c>
      <x:c r="Q210" s="18" t="str">
        <x:v>L</x:v>
      </x:c>
      <x:c r="R210" s="18" t="str">
        <x:v>UV0894</x:v>
      </x:c>
      <x:c r="S210" s="18" t="str">
        <x:v>Pendiente de fuente específica antes de implementar</x:v>
      </x:c>
    </x:row>
    <x:row r="211" ht="64" customHeight="1">
      <x:c r="A211" s="18" t="n">
        <x:v>195</x:v>
      </x:c>
      <x:c r="B211" s="18" t="str">
        <x:v>Analizador sintáctico</x:v>
      </x:c>
      <x:c r="C211" s="18" t="str">
        <x:v>análisis sintáctico</x:v>
      </x:c>
      <x:c r="D211" s="19" t="n">
        <x:v>22200</x:v>
      </x:c>
      <x:c r="E211" s="18" t="str">
        <x:v>Inferior a 240.000</x:v>
      </x:c>
      <x:c r="F211" s="18" t="str">
        <x:v>Reserva: NO cumple demanda autorizada</x:v>
      </x:c>
      <x:c r="G211" s="18" t="str">
        <x:v>Idiomas</x:v>
      </x:c>
      <x:c r="H211" s="18" t="str">
        <x:v>https://tools.usefulverse.com/tools/sentence-diagrammer/</x:v>
      </x:c>
      <x:c r="I211" s="18" t="str">
        <x:v>Visualizar dependencias y funciones de una oración, con edición de etiquetas.</x:v>
      </x:c>
      <x:c r="J211" s="18" t="str">
        <x:v>readability-checker da métricas; no construye un análisis sintáctico.</x:v>
      </x:c>
      <x:c r="K211" s="18" t="str">
        <x:v>Parser local por idioma y límites de precisión.</x:v>
      </x:c>
      <x:c r="L211" s="18" t="str">
        <x:v>Cálculo/editor/juego local propuesto</x:v>
      </x:c>
      <x:c r="M211" s="18" t="str">
        <x:v>Revisar motor, recursos y dependencias</x:v>
      </x:c>
      <x:c r="N211" s="18" t="str">
        <x:v>Interfaz en 37 idiomas; idioma no elige país ni reglas. Formatos Intl, RTL y datos/lexicón de idioma con cobertura explícita.</x:v>
      </x:c>
      <x:c r="O211" s="18" t="str">
        <x:v>global-candidates.json</x:v>
      </x:c>
      <x:c r="P211" s="18" t="str">
        <x:v>2025-10 / 2026-09</x:v>
      </x:c>
      <x:c r="Q211" s="18" t="str">
        <x:v>M</x:v>
      </x:c>
      <x:c r="R211" s="18" t="str">
        <x:v>UV0895</x:v>
      </x:c>
      <x:c r="S211" s="18" t="str">
        <x:v>Pendiente de fuente específica antes de implementar</x:v>
      </x:c>
    </x:row>
    <x:row r="212" ht="64" customHeight="1">
      <x:c r="A212" s="18" t="n">
        <x:v>196</x:v>
      </x:c>
      <x:c r="B212" s="18" t="str">
        <x:v>Identificador de cantos de aves</x:v>
      </x:c>
      <x:c r="C212" s="18" t="str">
        <x:v>bird song identifier</x:v>
      </x:c>
      <x:c r="D212" s="19" t="n">
        <x:v>18100</x:v>
      </x:c>
      <x:c r="E212" s="18" t="str">
        <x:v>Inferior a 240.000</x:v>
      </x:c>
      <x:c r="F212" s="18" t="str">
        <x:v>Reserva: NO cumple demanda autorizada</x:v>
      </x:c>
      <x:c r="G212" s="18" t="str">
        <x:v>Vida</x:v>
      </x:c>
      <x:c r="H212" s="18" t="str">
        <x:v>https://tools.usefulverse.com/tools/bird-sound-identifier/</x:v>
      </x:c>
      <x:c r="I212" s="18" t="str">
        <x:v>Comparar un audio con un modelo de especies y mostrar posibilidades por región.</x:v>
      </x:c>
      <x:c r="J212" s="18" t="str">
        <x:v>audio-spectrogram visualiza frecuencias; no clasifica especies.</x:v>
      </x:c>
      <x:c r="K212" s="18" t="str">
        <x:v>Modelo comercial permitido y precisión geográfica; algunos modelos disponibles prohíben uso comercial.</x:v>
      </x:c>
      <x:c r="L212" s="18" t="str">
        <x:v>Servicio/datos externos: condiciones y cuotas pendientes</x:v>
      </x:c>
      <x:c r="M212" s="18" t="str">
        <x:v>Datos: revisar fuente, licencia y cadencia</x:v>
      </x:c>
      <x:c r="N212" s="18" t="str">
        <x:v>Interfaz en 37 idiomas; idioma no elige país ni reglas. Formatos Intl, RTL y datos/lexicón de idioma con cobertura explícita.</x:v>
      </x:c>
      <x:c r="O212" s="18" t="str">
        <x:v>global-candidates.json</x:v>
      </x:c>
      <x:c r="P212" s="18" t="str">
        <x:v>2025-10 / 2026-09</x:v>
      </x:c>
      <x:c r="Q212" s="18" t="str">
        <x:v>L</x:v>
      </x:c>
      <x:c r="R212" s="18" t="str">
        <x:v>UV0896</x:v>
      </x:c>
      <x:c r="S212" s="18" t="str">
        <x:v>Pendiente de fuente específica antes de implementar</x:v>
      </x:c>
    </x:row>
    <x:row r="213" ht="64" customHeight="1">
      <x:c r="A213" s="18" t="n">
        <x:v>197</x:v>
      </x:c>
      <x:c r="B213" s="18" t="str">
        <x:v>Ganancias patrimoniales del Reino Unido</x:v>
      </x:c>
      <x:c r="C213" s="18" t="str">
        <x:v>capital gains calculator</x:v>
      </x:c>
      <x:c r="D213" s="19" t="n">
        <x:v>18100</x:v>
      </x:c>
      <x:c r="E213" s="18" t="str">
        <x:v>Inferior a 240.000</x:v>
      </x:c>
      <x:c r="F213" s="18" t="str">
        <x:v>Reserva: NO cumple demanda autorizada</x:v>
      </x:c>
      <x:c r="G213" s="18" t="str">
        <x:v>Finanzas</x:v>
      </x:c>
      <x:c r="H213" s="18" t="str">
        <x:v>https://tools.usefulverse.com/tools/capital-gains-tax-uk/</x:v>
      </x:c>
      <x:c r="I213" s="18" t="str">
        <x:v>Separar ganancias, pérdidas, exención y bandas según activo e ingresos.</x:v>
      </x:c>
      <x:c r="J213" s="18" t="str">
        <x:v>switzerland-property-gains-tax-calculator requiere tasa propia; no aplica bandas HMRC.</x:v>
      </x:c>
      <x:c r="K213" s="18" t="str">
        <x:v>Fuentes oficiales y tratamiento por tipo de activo.</x:v>
      </x:c>
      <x:c r="L213" s="18" t="str">
        <x:v>Cálculo/editor/juego local propuesto</x:v>
      </x:c>
      <x:c r="M213" s="18" t="str">
        <x:v>Revisar motor, recursos y dependencias</x:v>
      </x:c>
      <x:c r="N213" s="18" t="str">
        <x:v>Interfaz en 37 idiomas; idioma no elige país ni reglas. Jurisdicción y año visibles; fuentes oficiales del país.</x:v>
      </x:c>
      <x:c r="O213" s="18" t="str">
        <x:v>global-candidates.json</x:v>
      </x:c>
      <x:c r="P213" s="18" t="str">
        <x:v>2025-10 / 2026-09</x:v>
      </x:c>
      <x:c r="Q213" s="18" t="str">
        <x:v>L</x:v>
      </x:c>
      <x:c r="R213" s="18" t="str">
        <x:v>UV0897</x:v>
      </x:c>
      <x:c r="S213" s="18" t="str">
        <x:v>Pendiente de fuente específica antes de implementar</x:v>
      </x:c>
    </x:row>
    <x:row r="214" ht="64" customHeight="1">
      <x:c r="A214" s="18" t="n">
        <x:v>198</x:v>
      </x:c>
      <x:c r="B214" s="18" t="str">
        <x:v>Diseñador de bases de datos</x:v>
      </x:c>
      <x:c r="C214" s="18" t="str">
        <x:v>database diagram</x:v>
      </x:c>
      <x:c r="D214" s="19" t="n">
        <x:v>18100</x:v>
      </x:c>
      <x:c r="E214" s="18" t="str">
        <x:v>Inferior a 240.000</x:v>
      </x:c>
      <x:c r="F214" s="18" t="str">
        <x:v>Reserva: NO cumple demanda autorizada</x:v>
      </x:c>
      <x:c r="G214" s="18" t="str">
        <x:v>Desarrollo</x:v>
      </x:c>
      <x:c r="H214" s="18" t="str">
        <x:v>https://tools.usefulverse.com/tools/database-schema-designer/</x:v>
      </x:c>
      <x:c r="I214" s="18" t="str">
        <x:v>Crear entidades y relaciones, validar claves y exportar DDL por dialecto.</x:v>
      </x:c>
      <x:c r="J214" s="18" t="str">
        <x:v>diagram-maker dibuja un flujo genérico; no modela restricciones ni esquemas SQL.</x:v>
      </x:c>
      <x:c r="K214" s="18" t="str">
        <x:v>Motor local y cobertura de dialectos documentada.</x:v>
      </x:c>
      <x:c r="L214" s="18" t="str">
        <x:v>Cálculo/editor/juego local propuesto</x:v>
      </x:c>
      <x:c r="M214" s="18" t="str">
        <x:v>Revisar motor, recursos y dependencias</x:v>
      </x:c>
      <x:c r="N214" s="18" t="str">
        <x:v>Interfaz en 37 idiomas; idioma no elige país ni reglas. Formatos Intl, RTL y datos/lexicón de idioma con cobertura explícita.</x:v>
      </x:c>
      <x:c r="O214" s="18" t="str">
        <x:v>global-candidates.json</x:v>
      </x:c>
      <x:c r="P214" s="18" t="str">
        <x:v>2025-10 / 2026-09</x:v>
      </x:c>
      <x:c r="Q214" s="18" t="str">
        <x:v>M</x:v>
      </x:c>
      <x:c r="R214" s="18" t="str">
        <x:v>UV0898</x:v>
      </x:c>
      <x:c r="S214" s="18" t="str">
        <x:v>Pendiente de fuente específica antes de implementar</x:v>
      </x:c>
    </x:row>
    <x:row r="215" ht="64" customHeight="1">
      <x:c r="A215" s="18" t="n">
        <x:v>199</x:v>
      </x:c>
      <x:c r="B215" s="18" t="str">
        <x:v>Hex</x:v>
      </x:c>
      <x:c r="C215" s="18" t="str">
        <x:v>hex game</x:v>
      </x:c>
      <x:c r="D215" s="19" t="n">
        <x:v>18100</x:v>
      </x:c>
      <x:c r="E215" s="18" t="str">
        <x:v>Inferior a 240.000</x:v>
      </x:c>
      <x:c r="F215" s="18" t="str">
        <x:v>Reserva: NO cumple demanda autorizada</x:v>
      </x:c>
      <x:c r="G215" s="18" t="str">
        <x:v>Juegos</x:v>
      </x:c>
      <x:c r="H215" s="18" t="str">
        <x:v>https://tools.usefulverse.com/tools/hex-game/</x:v>
      </x:c>
      <x:c r="I215" s="18" t="str">
        <x:v>Conectar lados opuestos de una malla hexagonal sin empates.</x:v>
      </x:c>
      <x:c r="J215" s="18" t="str">
        <x:v>go-game puntúa territorio; Hex busca una conexión continua.</x:v>
      </x:c>
      <x:c r="K215" s="18" t="str">
        <x:v>Tablero y bot local; no confundir con juegos de marca homónima.</x:v>
      </x:c>
      <x:c r="L215" s="18" t="str">
        <x:v>Cálculo/editor/juego local propuesto</x:v>
      </x:c>
      <x:c r="M215" s="18" t="str">
        <x:v>Revisar motor, recursos y dependencias</x:v>
      </x:c>
      <x:c r="N215" s="18" t="str">
        <x:v>Interfaz en 37 idiomas; idioma no elige país ni reglas. Reglas y variante elegibles; ayudas claras y arte propio.</x:v>
      </x:c>
      <x:c r="O215" s="18" t="str">
        <x:v>global-candidates.json</x:v>
      </x:c>
      <x:c r="P215" s="18" t="str">
        <x:v>2025-10 / 2026-09</x:v>
      </x:c>
      <x:c r="Q215" s="18" t="str">
        <x:v>M</x:v>
      </x:c>
      <x:c r="R215" s="18" t="str">
        <x:v>UV0899</x:v>
      </x:c>
      <x:c r="S215" s="18" t="str">
        <x:v>Pendiente de fuente específica antes de implementar</x:v>
      </x:c>
    </x:row>
    <x:row r="216" ht="64" customHeight="1">
      <x:c r="A216" s="18" t="n">
        <x:v>200</x:v>
      </x:c>
      <x:c r="B216" s="18" t="str">
        <x:v>Transcriptor fonético IPA</x:v>
      </x:c>
      <x:c r="C216" s="18" t="str">
        <x:v>phonetic transcription</x:v>
      </x:c>
      <x:c r="D216" s="19" t="n">
        <x:v>18100</x:v>
      </x:c>
      <x:c r="E216" s="18" t="str">
        <x:v>Inferior a 240.000</x:v>
      </x:c>
      <x:c r="F216" s="18" t="str">
        <x:v>Reserva: NO cumple demanda autorizada</x:v>
      </x:c>
      <x:c r="G216" s="18" t="str">
        <x:v>Idiomas</x:v>
      </x:c>
      <x:c r="H216" s="18" t="str">
        <x:v>https://tools.usefulverse.com/tools/ipa-transcriber/</x:v>
      </x:c>
      <x:c r="I216" s="18" t="str">
        <x:v>Convertir palabras a IPA con variante de pronunciación explícita.</x:v>
      </x:c>
      <x:c r="J216" s="18" t="str">
        <x:v>phonetic-alphabet-converter produce palabras NATO, no fonemas.</x:v>
      </x:c>
      <x:c r="K216" s="18" t="str">
        <x:v>Diccionarios fonéticos abiertos y cobertura declarada.</x:v>
      </x:c>
      <x:c r="L216" s="18" t="str">
        <x:v>Cálculo/editor/juego local propuesto</x:v>
      </x:c>
      <x:c r="M216" s="18" t="str">
        <x:v>Revisar motor, recursos y dependencias</x:v>
      </x:c>
      <x:c r="N216" s="18" t="str">
        <x:v>Interfaz en 37 idiomas; idioma no elige país ni reglas. Formatos Intl, RTL y datos/lexicón de idioma con cobertura explícita.</x:v>
      </x:c>
      <x:c r="O216" s="18" t="str">
        <x:v>global-candidates.json</x:v>
      </x:c>
      <x:c r="P216" s="18" t="str">
        <x:v>2025-10 / 2026-09</x:v>
      </x:c>
      <x:c r="Q216" s="18" t="str">
        <x:v>M</x:v>
      </x:c>
      <x:c r="R216" s="18" t="str">
        <x:v>UV0900</x:v>
      </x:c>
      <x:c r="S216" s="18" t="str">
        <x:v>Pendiente de fuente específica antes de implementar</x:v>
      </x:c>
    </x:row>
    <x:row r="217" ht="64" customHeight="1">
      <x:c r="A217" s="18" t="n">
        <x:v>201</x:v>
      </x:c>
      <x:c r="B217" s="18" t="str">
        <x:v>Generador de litofanías</x:v>
      </x:c>
      <x:c r="C217" s="18" t="str">
        <x:v>lithophane maker</x:v>
      </x:c>
      <x:c r="D217" s="19" t="n">
        <x:v>18100</x:v>
      </x:c>
      <x:c r="E217" s="18" t="str">
        <x:v>Inferior a 240.000</x:v>
      </x:c>
      <x:c r="F217" s="18" t="str">
        <x:v>Reserva: NO cumple demanda autorizada</x:v>
      </x:c>
      <x:c r="G217" s="18" t="str">
        <x:v>Creatividad</x:v>
      </x:c>
      <x:c r="H217" s="18" t="str">
        <x:v>https://tools.usefulverse.com/tools/lithophane-generator/</x:v>
      </x:c>
      <x:c r="I217" s="18" t="str">
        <x:v>Convertir luminosidad de una fotografía en relieve 3D imprimible.</x:v>
      </x:c>
      <x:c r="J217" s="18" t="str">
        <x:v>photo-mosaic-maker genera bloques 2D; no produce una malla de espesor variable.</x:v>
      </x:c>
      <x:c r="K217" s="18" t="str">
        <x:v>Cálculo local y límites de resolución de malla.</x:v>
      </x:c>
      <x:c r="L217" s="18" t="str">
        <x:v>Cálculo/editor/juego local propuesto</x:v>
      </x:c>
      <x:c r="M217" s="18" t="str">
        <x:v>Revisar motor, recursos y dependencias</x:v>
      </x:c>
      <x:c r="N217" s="18" t="str">
        <x:v>Interfaz en 37 idiomas; idioma no elige país ni reglas. Formatos Intl, RTL y datos/lexicón de idioma con cobertura explícita.</x:v>
      </x:c>
      <x:c r="O217" s="18" t="str">
        <x:v>global-candidates.json</x:v>
      </x:c>
      <x:c r="P217" s="18" t="str">
        <x:v>2025-10 / 2026-09</x:v>
      </x:c>
      <x:c r="Q217" s="18" t="str">
        <x:v>M</x:v>
      </x:c>
      <x:c r="R217" s="18" t="str">
        <x:v>UV0901</x:v>
      </x:c>
      <x:c r="S217" s="18" t="str">
        <x:v>Pendiente de fuente específica antes de implementar</x:v>
      </x:c>
    </x:row>
    <x:row r="218" ht="64" customHeight="1">
      <x:c r="A218" s="18" t="n">
        <x:v>202</x:v>
      </x:c>
      <x:c r="B218" s="18" t="str">
        <x:v>Preferans</x:v>
      </x:c>
      <x:c r="C218" s="18" t="str">
        <x:v>преферанс</x:v>
      </x:c>
      <x:c r="D218" s="19" t="n">
        <x:v>18100</x:v>
      </x:c>
      <x:c r="E218" s="18" t="str">
        <x:v>Inferior a 240.000</x:v>
      </x:c>
      <x:c r="F218" s="18" t="str">
        <x:v>Reserva: NO cumple demanda autorizada</x:v>
      </x:c>
      <x:c r="G218" s="18" t="str">
        <x:v>Juegos</x:v>
      </x:c>
      <x:c r="H218" s="18" t="str">
        <x:v>https://tools.usefulverse.com/tools/preferans/</x:v>
      </x:c>
      <x:c r="I218" s="18" t="str">
        <x:v>Jugar subasta, contratos y whist con tres asientos locales.</x:v>
      </x:c>
      <x:c r="J218" s="18" t="str">
        <x:v>skat-card-game usa otro sistema de contratos y anotación.</x:v>
      </x:c>
      <x:c r="K218" s="18" t="str">
        <x:v>Variantes del tanteo explícitas y bots locales.</x:v>
      </x:c>
      <x:c r="L218" s="18" t="str">
        <x:v>Cálculo/editor/juego local propuesto</x:v>
      </x:c>
      <x:c r="M218" s="18" t="str">
        <x:v>Revisar motor, recursos y dependencias</x:v>
      </x:c>
      <x:c r="N218" s="18" t="str">
        <x:v>Interfaz en 37 idiomas; idioma no elige país ni reglas. Reglas y variante elegibles; ayudas claras y arte propio.</x:v>
      </x:c>
      <x:c r="O218" s="18" t="str">
        <x:v>global-candidates.json</x:v>
      </x:c>
      <x:c r="P218" s="18" t="str">
        <x:v>2025-10 / 2026-09</x:v>
      </x:c>
      <x:c r="Q218" s="18" t="str">
        <x:v>M</x:v>
      </x:c>
      <x:c r="R218" s="18" t="str">
        <x:v>UV0902</x:v>
      </x:c>
      <x:c r="S218" s="18" t="str">
        <x:v>Pendiente de fuente específica antes de implementar</x:v>
      </x:c>
    </x:row>
    <x:row r="219" ht="64" customHeight="1">
      <x:c r="A219" s="18" t="n">
        <x:v>203</x:v>
      </x:c>
      <x:c r="B219" s="18" t="str">
        <x:v>Analizador de cabeceras de correo</x:v>
      </x:c>
      <x:c r="C219" s="18" t="str">
        <x:v>email header analyzer</x:v>
      </x:c>
      <x:c r="D219" s="19" t="n">
        <x:v>14800</x:v>
      </x:c>
      <x:c r="E219" s="18" t="str">
        <x:v>Inferior a 240.000</x:v>
      </x:c>
      <x:c r="F219" s="18" t="str">
        <x:v>Reserva: NO cumple demanda autorizada</x:v>
      </x:c>
      <x:c r="G219" s="18" t="str">
        <x:v>Desarrollo</x:v>
      </x:c>
      <x:c r="H219" s="18" t="str">
        <x:v>https://tools.usefulverse.com/tools/email-header-analyzer/</x:v>
      </x:c>
      <x:c r="I219" s="18" t="str">
        <x:v>Interpretar saltos Received y resultados SPF, DKIM y DMARC de cabeceras pegadas.</x:v>
      </x:c>
      <x:c r="J219" s="18" t="str">
        <x:v>email-signature-generator crea firmas visuales; no analiza autenticación.</x:v>
      </x:c>
      <x:c r="K219" s="18" t="str">
        <x:v>Procesamiento local; resultados de cabeceras pueden haber sido falsificados.</x:v>
      </x:c>
      <x:c r="L219" s="18" t="str">
        <x:v>Cálculo/editor/juego local propuesto</x:v>
      </x:c>
      <x:c r="M219" s="18" t="str">
        <x:v>Revisar motor, recursos y dependencias</x:v>
      </x:c>
      <x:c r="N219" s="18" t="str">
        <x:v>Interfaz en 37 idiomas; idioma no elige país ni reglas. Formatos Intl, RTL y datos/lexicón de idioma con cobertura explícita.</x:v>
      </x:c>
      <x:c r="O219" s="18" t="str">
        <x:v>global-candidates.json</x:v>
      </x:c>
      <x:c r="P219" s="18" t="str">
        <x:v>2025-10 / 2026-09</x:v>
      </x:c>
      <x:c r="Q219" s="18" t="str">
        <x:v>M</x:v>
      </x:c>
      <x:c r="R219" s="18" t="str">
        <x:v>UV0903</x:v>
      </x:c>
      <x:c r="S219" s="18" t="str">
        <x:v>Pendiente de fuente específica antes de implementar</x:v>
      </x:c>
    </x:row>
    <x:row r="220" ht="64" customHeight="1">
      <x:c r="A220" s="18" t="n">
        <x:v>204</x:v>
      </x:c>
      <x:c r="B220" s="18" t="str">
        <x:v>Hnefatafl</x:v>
      </x:c>
      <x:c r="C220" s="18" t="str">
        <x:v>hnefatafl</x:v>
      </x:c>
      <x:c r="D220" s="19" t="n">
        <x:v>14800</x:v>
      </x:c>
      <x:c r="E220" s="18" t="str">
        <x:v>Inferior a 240.000</x:v>
      </x:c>
      <x:c r="F220" s="18" t="str">
        <x:v>Reserva: NO cumple demanda autorizada</x:v>
      </x:c>
      <x:c r="G220" s="18" t="str">
        <x:v>Juegos</x:v>
      </x:c>
      <x:c r="H220" s="18" t="str">
        <x:v>https://tools.usefulverse.com/tools/hnefatafl/</x:v>
      </x:c>
      <x:c r="I220" s="18" t="str">
        <x:v>Jugar bandos asimétricos de rey y atacantes con capturas por cerco.</x:v>
      </x:c>
      <x:c r="J220" s="18" t="str">
        <x:v>chess-game tiene bandos simétricos y captura por ocupación.</x:v>
      </x:c>
      <x:c r="K220" s="18" t="str">
        <x:v>Variante del tablero y condiciones de escape explícitas.</x:v>
      </x:c>
      <x:c r="L220" s="18" t="str">
        <x:v>Cálculo/editor/juego local propuesto</x:v>
      </x:c>
      <x:c r="M220" s="18" t="str">
        <x:v>Revisar motor, recursos y dependencias</x:v>
      </x:c>
      <x:c r="N220" s="18" t="str">
        <x:v>Interfaz en 37 idiomas; idioma no elige país ni reglas. Reglas y variante elegibles; ayudas claras y arte propio.</x:v>
      </x:c>
      <x:c r="O220" s="18" t="str">
        <x:v>global-candidates.json</x:v>
      </x:c>
      <x:c r="P220" s="18" t="str">
        <x:v>2025-10 / 2026-09</x:v>
      </x:c>
      <x:c r="Q220" s="18" t="str">
        <x:v>M</x:v>
      </x:c>
      <x:c r="R220" s="18" t="str">
        <x:v>UV0904</x:v>
      </x:c>
      <x:c r="S220" s="18" t="str">
        <x:v>Pendiente de fuente específica antes de implementar</x:v>
      </x:c>
    </x:row>
    <x:row r="221" ht="64" customHeight="1">
      <x:c r="A221" s="18" t="n">
        <x:v>205</x:v>
      </x:c>
      <x:c r="B221" s="18" t="str">
        <x:v>Limpiador seguro de HTML</x:v>
      </x:c>
      <x:c r="C221" s="18" t="str">
        <x:v>clean html</x:v>
      </x:c>
      <x:c r="D221" s="19" t="n">
        <x:v>14800</x:v>
      </x:c>
      <x:c r="E221" s="18" t="str">
        <x:v>Inferior a 240.000</x:v>
      </x:c>
      <x:c r="F221" s="18" t="str">
        <x:v>Reserva: NO cumple demanda autorizada</x:v>
      </x:c>
      <x:c r="G221" s="18" t="str">
        <x:v>Desarrollo</x:v>
      </x:c>
      <x:c r="H221" s="18" t="str">
        <x:v>https://tools.usefulverse.com/tools/html-sanitizer/</x:v>
      </x:c>
      <x:c r="I221" s="18" t="str">
        <x:v>Eliminar contenido y atributos peligrosos según una política elegida y mostrar lo eliminado.</x:v>
      </x:c>
      <x:c r="J221" s="18" t="str">
        <x:v>html-formatter solo formatea; no aplica una política de contenido permitido.</x:v>
      </x:c>
      <x:c r="K221" s="18" t="str">
        <x:v>Biblioteca mantenida y sandbox; políticas de seguridad explícitas.</x:v>
      </x:c>
      <x:c r="L221" s="18" t="str">
        <x:v>Cálculo/editor/juego local propuesto</x:v>
      </x:c>
      <x:c r="M221" s="18" t="str">
        <x:v>Revisar motor, recursos y dependencias</x:v>
      </x:c>
      <x:c r="N221" s="18" t="str">
        <x:v>Interfaz en 37 idiomas; idioma no elige país ni reglas. Formatos Intl, RTL y datos/lexicón de idioma con cobertura explícita.</x:v>
      </x:c>
      <x:c r="O221" s="18" t="str">
        <x:v>global-candidates.json</x:v>
      </x:c>
      <x:c r="P221" s="18" t="str">
        <x:v>2025-10 / 2026-09</x:v>
      </x:c>
      <x:c r="Q221" s="18" t="str">
        <x:v>M</x:v>
      </x:c>
      <x:c r="R221" s="18" t="str">
        <x:v>UV0905</x:v>
      </x:c>
      <x:c r="S221" s="18" t="str">
        <x:v>Pendiente de fuente específica antes de implementar</x:v>
      </x:c>
    </x:row>
    <x:row r="222" ht="64" customHeight="1">
      <x:c r="A222" s="18" t="n">
        <x:v>206</x:v>
      </x:c>
      <x:c r="B222" s="18" t="str">
        <x:v>Necesidad de seguro de vida</x:v>
      </x:c>
      <x:c r="C222" s="18" t="str">
        <x:v>insurance calculator</x:v>
      </x:c>
      <x:c r="D222" s="19" t="n">
        <x:v>14800</x:v>
      </x:c>
      <x:c r="E222" s="18" t="str">
        <x:v>Inferior a 240.000</x:v>
      </x:c>
      <x:c r="F222" s="18" t="str">
        <x:v>Reserva: NO cumple demanda autorizada</x:v>
      </x:c>
      <x:c r="G222" s="18" t="str">
        <x:v>Finanzas</x:v>
      </x:c>
      <x:c r="H222" s="18" t="str">
        <x:v>https://tools.usefulverse.com/tools/insurance-needs-calculator/</x:v>
      </x:c>
      <x:c r="I222" s="18" t="str">
        <x:v>Comparar obligaciones, reemplazo de ingresos, activos y horizonte para una cobertura estimada.</x:v>
      </x:c>
      <x:c r="J222" s="18" t="str">
        <x:v>net-worth-calculator suma patrimonio; no modela dependientes y flujos de cobertura.</x:v>
      </x:c>
      <x:c r="K222" s="18" t="str">
        <x:v>Supuestos editables; sin cotizaciones ni venta de pólizas.</x:v>
      </x:c>
      <x:c r="L222" s="18" t="str">
        <x:v>Cálculo/editor/juego local propuesto</x:v>
      </x:c>
      <x:c r="M222" s="18" t="str">
        <x:v>Revisar motor, recursos y dependencias</x:v>
      </x:c>
      <x:c r="N222" s="18" t="str">
        <x:v>Interfaz en 37 idiomas; idioma no elige país ni reglas. Jurisdicción y año visibles; fuentes oficiales del país.</x:v>
      </x:c>
      <x:c r="O222" s="18" t="str">
        <x:v>global-candidates.json</x:v>
      </x:c>
      <x:c r="P222" s="18" t="str">
        <x:v>2025-10 / 2026-09</x:v>
      </x:c>
      <x:c r="Q222" s="18" t="str">
        <x:v>L</x:v>
      </x:c>
      <x:c r="R222" s="18" t="str">
        <x:v>UV0906</x:v>
      </x:c>
      <x:c r="S222" s="18" t="str">
        <x:v>Pendiente de fuente específica antes de implementar</x:v>
      </x:c>
    </x:row>
    <x:row r="223" ht="64" customHeight="1">
      <x:c r="A223" s="18" t="n">
        <x:v>207</x:v>
      </x:c>
      <x:c r="B223" s="18" t="str">
        <x:v>Editor de letras de karaoke</x:v>
      </x:c>
      <x:c r="C223" s="18" t="str">
        <x:v>karaoke maker</x:v>
      </x:c>
      <x:c r="D223" s="19" t="n">
        <x:v>14800</x:v>
      </x:c>
      <x:c r="E223" s="18" t="str">
        <x:v>Inferior a 240.000</x:v>
      </x:c>
      <x:c r="F223" s="18" t="str">
        <x:v>Reserva: NO cumple demanda autorizada</x:v>
      </x:c>
      <x:c r="G223" s="18" t="str">
        <x:v>Música</x:v>
      </x:c>
      <x:c r="H223" s="18" t="str">
        <x:v>https://tools.usefulverse.com/tools/karaoke-lyrics-editor/</x:v>
      </x:c>
      <x:c r="I223" s="18" t="str">
        <x:v>Sincronizar sílabas con audio y exportar letras temporizadas y vídeo original.</x:v>
      </x:c>
      <x:c r="J223" s="18" t="str">
        <x:v>subtitle-converter cambia formatos y tiempos globales; no temporiza sílabas interactivamente.</x:v>
      </x:c>
      <x:c r="K223" s="18" t="str">
        <x:v>Contenido propio, exportación local y sin catálogo comercial de canciones.</x:v>
      </x:c>
      <x:c r="L223" s="18" t="str">
        <x:v>Cálculo/editor/juego local propuesto</x:v>
      </x:c>
      <x:c r="M223" s="18" t="str">
        <x:v>Revisar motor, recursos y dependencias</x:v>
      </x:c>
      <x:c r="N223" s="18" t="str">
        <x:v>Interfaz en 37 idiomas; idioma no elige país ni reglas. Formatos Intl, RTL y datos/lexicón de idioma con cobertura explícita.</x:v>
      </x:c>
      <x:c r="O223" s="18" t="str">
        <x:v>global-initial-screen.json</x:v>
      </x:c>
      <x:c r="P223" s="18" t="str">
        <x:v>2025-10 / 2026-09</x:v>
      </x:c>
      <x:c r="Q223" s="18" t="str">
        <x:v>M</x:v>
      </x:c>
      <x:c r="R223" s="18" t="str">
        <x:v>UV0907</x:v>
      </x:c>
      <x:c r="S223" s="18" t="str">
        <x:v>Pendiente de fuente específica antes de implementar</x:v>
      </x:c>
    </x:row>
    <x:row r="224" ht="64" customHeight="1">
      <x:c r="A224" s="18" t="n">
        <x:v>208</x:v>
      </x:c>
      <x:c r="B224" s="18" t="str">
        <x:v>Detector de idioma</x:v>
      </x:c>
      <x:c r="C224" s="18" t="str">
        <x:v>language detector</x:v>
      </x:c>
      <x:c r="D224" s="19" t="n">
        <x:v>14800</x:v>
      </x:c>
      <x:c r="E224" s="18" t="str">
        <x:v>Inferior a 240.000</x:v>
      </x:c>
      <x:c r="F224" s="18" t="str">
        <x:v>Reserva: NO cumple demanda autorizada</x:v>
      </x:c>
      <x:c r="G224" s="18" t="str">
        <x:v>Idiomas</x:v>
      </x:c>
      <x:c r="H224" s="18" t="str">
        <x:v>https://tools.usefulverse.com/tools/language-detector/</x:v>
      </x:c>
      <x:c r="I224" s="18" t="str">
        <x:v>Identificar idiomas probables y escritura de un texto con alternativas.</x:v>
      </x:c>
      <x:c r="J224" s="18" t="str">
        <x:v>No hay identificación de idioma; no repetir traducción por pares.</x:v>
      </x:c>
      <x:c r="K224" s="18" t="str">
        <x:v>Modelo ligero local; incertidumbre para frases cortas.</x:v>
      </x:c>
      <x:c r="L224" s="18" t="str">
        <x:v>Cálculo/editor/juego local propuesto</x:v>
      </x:c>
      <x:c r="M224" s="18" t="str">
        <x:v>Revisar motor, recursos y dependencias</x:v>
      </x:c>
      <x:c r="N224" s="18" t="str">
        <x:v>Interfaz en 37 idiomas; idioma no elige país ni reglas. Formatos Intl, RTL y datos/lexicón de idioma con cobertura explícita.</x:v>
      </x:c>
      <x:c r="O224" s="18" t="str">
        <x:v>global-candidates.json</x:v>
      </x:c>
      <x:c r="P224" s="18" t="str">
        <x:v>2025-10 / 2026-09</x:v>
      </x:c>
      <x:c r="Q224" s="18" t="str">
        <x:v>M</x:v>
      </x:c>
      <x:c r="R224" s="18" t="str">
        <x:v>UV0908</x:v>
      </x:c>
      <x:c r="S224" s="18" t="str">
        <x:v>Pendiente de fuente específica antes de implementar</x:v>
      </x:c>
    </x:row>
    <x:row r="225" ht="64" customHeight="1">
      <x:c r="A225" s="18" t="n">
        <x:v>209</x:v>
      </x:c>
      <x:c r="B225" s="18" t="str">
        <x:v>Planificador de mudanza</x:v>
      </x:c>
      <x:c r="C225" s="18" t="str">
        <x:v>moving checklist</x:v>
      </x:c>
      <x:c r="D225" s="19" t="n">
        <x:v>14800</x:v>
      </x:c>
      <x:c r="E225" s="18" t="str">
        <x:v>Inferior a 240.000</x:v>
      </x:c>
      <x:c r="F225" s="18" t="str">
        <x:v>Reserva: NO cumple demanda autorizada</x:v>
      </x:c>
      <x:c r="G225" s="18" t="str">
        <x:v>Vida</x:v>
      </x:c>
      <x:c r="H225" s="18" t="str">
        <x:v>https://tools.usefulverse.com/tools/moving-planner/</x:v>
      </x:c>
      <x:c r="I225" s="18" t="str">
        <x:v>Preparar inventario de cajas, tareas por fecha y ubicación destino.</x:v>
      </x:c>
      <x:c r="J225" s="18" t="str">
        <x:v>packing-list-maker prepara equipaje de viaje; no inventario de mudanza y trazabilidad de cajas.</x:v>
      </x:c>
      <x:c r="K225" s="18" t="str">
        <x:v>Datos locales y etiquetas exportables; no presupuestos de terceros inventados.</x:v>
      </x:c>
      <x:c r="L225" s="18" t="str">
        <x:v>Cálculo/editor/juego local propuesto</x:v>
      </x:c>
      <x:c r="M225" s="18" t="str">
        <x:v>Revisar motor, recursos y dependencias</x:v>
      </x:c>
      <x:c r="N225" s="18" t="str">
        <x:v>Interfaz en 37 idiomas; idioma no elige país ni reglas. Formatos Intl, RTL y datos/lexicón de idioma con cobertura explícita.</x:v>
      </x:c>
      <x:c r="O225" s="18" t="str">
        <x:v>global-candidates.json</x:v>
      </x:c>
      <x:c r="P225" s="18" t="str">
        <x:v>2025-10 / 2026-09</x:v>
      </x:c>
      <x:c r="Q225" s="18" t="str">
        <x:v>M</x:v>
      </x:c>
      <x:c r="R225" s="18" t="str">
        <x:v>UV0909</x:v>
      </x:c>
      <x:c r="S225" s="18" t="str">
        <x:v>Pendiente de fuente específica antes de implementar</x:v>
      </x:c>
    </x:row>
    <x:row r="226" ht="64" customHeight="1">
      <x:c r="A226" s="18" t="n">
        <x:v>210</x:v>
      </x:c>
      <x:c r="B226" s="18" t="str">
        <x:v>Cuestionario de estrés percibido</x:v>
      </x:c>
      <x:c r="C226" s="18" t="str">
        <x:v>perceived stress scale</x:v>
      </x:c>
      <x:c r="D226" s="19" t="n">
        <x:v>14800</x:v>
      </x:c>
      <x:c r="E226" s="18" t="str">
        <x:v>Inferior a 240.000</x:v>
      </x:c>
      <x:c r="F226" s="18" t="str">
        <x:v>Reserva: NO cumple demanda autorizada</x:v>
      </x:c>
      <x:c r="G226" s="18" t="str">
        <x:v>Bienestar</x:v>
      </x:c>
      <x:c r="H226" s="18" t="str">
        <x:v>https://tools.usefulverse.com/tools/perceived-stress-questionnaire/</x:v>
      </x:c>
      <x:c r="I226" s="18" t="str">
        <x:v>Responder una escala permitida y revisar puntuación y evolución sin diagnóstico.</x:v>
      </x:c>
      <x:c r="J226" s="18" t="str">
        <x:v>mood-tracker no administra ni puntúa una escala estandarizada.</x:v>
      </x:c>
      <x:c r="K226" s="18" t="str">
        <x:v>Permiso de la escala y traducciones; keyword genérica puede referirse a CPU o cardiología.</x:v>
      </x:c>
      <x:c r="L226" s="18" t="str">
        <x:v>Cálculo/editor/juego local propuesto</x:v>
      </x:c>
      <x:c r="M226" s="18" t="str">
        <x:v>Revisar motor, recursos y dependencias</x:v>
      </x:c>
      <x:c r="N226" s="18" t="str">
        <x:v>Interfaz en 37 idiomas; idioma no elige país ni reglas. Formatos Intl, RTL y datos/lexicón de idioma con cobertura explícita.</x:v>
      </x:c>
      <x:c r="O226" s="18" t="str">
        <x:v>global-candidates.json</x:v>
      </x:c>
      <x:c r="P226" s="18" t="str">
        <x:v>2025-10 / 2026-09</x:v>
      </x:c>
      <x:c r="Q226" s="18" t="str">
        <x:v>L</x:v>
      </x:c>
      <x:c r="R226" s="18" t="str">
        <x:v>UV0910</x:v>
      </x:c>
      <x:c r="S226" s="18" t="str">
        <x:v>Pendiente de fuente específica antes de implementar</x:v>
      </x:c>
    </x:row>
    <x:row r="227" ht="64" customHeight="1">
      <x:c r="A227" s="18" t="n">
        <x:v>211</x:v>
      </x:c>
      <x:c r="B227" s="18" t="str">
        <x:v>Planificador de canciones</x:v>
      </x:c>
      <x:c r="C227" s="18" t="str">
        <x:v>song structure</x:v>
      </x:c>
      <x:c r="D227" s="19" t="n">
        <x:v>14800</x:v>
      </x:c>
      <x:c r="E227" s="18" t="str">
        <x:v>Inferior a 240.000</x:v>
      </x:c>
      <x:c r="F227" s="18" t="str">
        <x:v>Reserva: NO cumple demanda autorizada</x:v>
      </x:c>
      <x:c r="G227" s="18" t="str">
        <x:v>Música</x:v>
      </x:c>
      <x:c r="H227" s="18" t="str">
        <x:v>https://tools.usefulverse.com/tools/song-structure-planner/</x:v>
      </x:c>
      <x:c r="I227" s="18" t="str">
        <x:v>Organizar secciones, compases, energía y letras propias con duración estimada.</x:v>
      </x:c>
      <x:c r="J227" s="18" t="str">
        <x:v>online-sequencer crea notas; no planifica forma y letra por secciones.</x:v>
      </x:c>
      <x:c r="K227" s="18" t="str">
        <x:v>No generar letras copiadas ni afirmar calidad musical automática.</x:v>
      </x:c>
      <x:c r="L227" s="18" t="str">
        <x:v>Cálculo/editor/juego local propuesto</x:v>
      </x:c>
      <x:c r="M227" s="18" t="str">
        <x:v>Revisar motor, recursos y dependencias</x:v>
      </x:c>
      <x:c r="N227" s="18" t="str">
        <x:v>Interfaz en 37 idiomas; idioma no elige país ni reglas. Formatos Intl, RTL y datos/lexicón de idioma con cobertura explícita.</x:v>
      </x:c>
      <x:c r="O227" s="18" t="str">
        <x:v>global-candidates.json</x:v>
      </x:c>
      <x:c r="P227" s="18" t="str">
        <x:v>2025-10 / 2026-09</x:v>
      </x:c>
      <x:c r="Q227" s="18" t="str">
        <x:v>M</x:v>
      </x:c>
      <x:c r="R227" s="18" t="str">
        <x:v>UV0911</x:v>
      </x:c>
      <x:c r="S227" s="18" t="str">
        <x:v>Pendiente de fuente específica antes de implementar</x:v>
      </x:c>
    </x:row>
    <x:row r="228" ht="64" customHeight="1">
      <x:c r="A228" s="18" t="n">
        <x:v>212</x:v>
      </x:c>
      <x:c r="B228" s="18" t="str">
        <x:v>Prestación por desempleo de España</x:v>
      </x:c>
      <x:c r="C228" s="18" t="str">
        <x:v>calcular paro</x:v>
      </x:c>
      <x:c r="D228" s="19" t="n">
        <x:v>14800</x:v>
      </x:c>
      <x:c r="E228" s="18" t="str">
        <x:v>Inferior a 240.000</x:v>
      </x:c>
      <x:c r="F228" s="18" t="str">
        <x:v>Reserva: NO cumple demanda autorizada</x:v>
      </x:c>
      <x:c r="G228" s="18" t="str">
        <x:v>Finanzas</x:v>
      </x:c>
      <x:c r="H228" s="18" t="str">
        <x:v>https://tools.usefulverse.com/tools/spain-unemployment-benefit/</x:v>
      </x:c>
      <x:c r="I228" s="18" t="str">
        <x:v>Estimar duración y cuantía con cotización, base y cargas familiares según reglas SEPE.</x:v>
      </x:c>
      <x:c r="J228" s="18" t="str">
        <x:v>norway-unemployment-benefit-calculator usa otra legislación y fórmulas.</x:v>
      </x:c>
      <x:c r="K228" s="18" t="str">
        <x:v>Fuente SEPE, fechas y topes actualizados.</x:v>
      </x:c>
      <x:c r="L228" s="18" t="str">
        <x:v>Cálculo/editor/juego local propuesto</x:v>
      </x:c>
      <x:c r="M228" s="18" t="str">
        <x:v>Alta: normativa y tablas por ejercicio</x:v>
      </x:c>
      <x:c r="N228" s="18" t="str">
        <x:v>Interfaz en 37 idiomas; idioma no elige país ni reglas. Jurisdicción y año visibles; fuentes oficiales del país.</x:v>
      </x:c>
      <x:c r="O228" s="18" t="str">
        <x:v>global-candidates.json</x:v>
      </x:c>
      <x:c r="P228" s="18" t="str">
        <x:v>2025-10 / 2026-09</x:v>
      </x:c>
      <x:c r="Q228" s="18" t="str">
        <x:v>L</x:v>
      </x:c>
      <x:c r="R228" s="18" t="str">
        <x:v>UV0912</x:v>
      </x:c>
      <x:c r="S228" s="18" t="str">
        <x:v>Pendiente de fuente específica antes de implementar</x:v>
      </x:c>
    </x:row>
    <x:row r="229" ht="64" customHeight="1">
      <x:c r="A229" s="18" t="n">
        <x:v>213</x:v>
      </x:c>
      <x:c r="B229" s="18" t="str">
        <x:v>Curvas de supervivencia</x:v>
      </x:c>
      <x:c r="C229" s="18" t="str">
        <x:v>kaplan meier curve</x:v>
      </x:c>
      <x:c r="D229" s="19" t="n">
        <x:v>14800</x:v>
      </x:c>
      <x:c r="E229" s="18" t="str">
        <x:v>Inferior a 240.000</x:v>
      </x:c>
      <x:c r="F229" s="18" t="str">
        <x:v>Reserva: NO cumple demanda autorizada</x:v>
      </x:c>
      <x:c r="G229" s="18" t="str">
        <x:v>Ciencia</x:v>
      </x:c>
      <x:c r="H229" s="18" t="str">
        <x:v>https://tools.usefulverse.com/tools/survival-analysis/</x:v>
      </x:c>
      <x:c r="I229" s="18" t="str">
        <x:v>Estimar Kaplan–Meier con censura, tabla de riesgo y comparación log-rank.</x:v>
      </x:c>
      <x:c r="J229" s="18" t="str">
        <x:v>statistical-test-calculator no modela tiempos censurados.</x:v>
      </x:c>
      <x:c r="K229" s="18" t="str">
        <x:v>Métodos documentados y uso estadístico sin pronóstico clínico individual.</x:v>
      </x:c>
      <x:c r="L229" s="18" t="str">
        <x:v>Cálculo/editor/juego local propuesto</x:v>
      </x:c>
      <x:c r="M229" s="18" t="str">
        <x:v>Revisar motor, recursos y dependencias</x:v>
      </x:c>
      <x:c r="N229" s="18" t="str">
        <x:v>Interfaz en 37 idiomas; idioma no elige país ni reglas. Formatos Intl, RTL y datos/lexicón de idioma con cobertura explícita.</x:v>
      </x:c>
      <x:c r="O229" s="18" t="str">
        <x:v>global-candidates.json</x:v>
      </x:c>
      <x:c r="P229" s="18" t="str">
        <x:v>2025-10 / 2026-09</x:v>
      </x:c>
      <x:c r="Q229" s="18" t="str">
        <x:v>M</x:v>
      </x:c>
      <x:c r="R229" s="18" t="str">
        <x:v>UV0913</x:v>
      </x:c>
      <x:c r="S229" s="18" t="str">
        <x:v>Pendiente de fuente específica antes de implementar</x:v>
      </x:c>
    </x:row>
    <x:row r="230" ht="64" customHeight="1">
      <x:c r="A230" s="18" t="n">
        <x:v>214</x:v>
      </x:c>
      <x:c r="B230" s="18" t="str">
        <x:v>Graficador de superficies 3D</x:v>
      </x:c>
      <x:c r="C230" s="18" t="str">
        <x:v>3d graphing calculator</x:v>
      </x:c>
      <x:c r="D230" s="19" t="n">
        <x:v>12100</x:v>
      </x:c>
      <x:c r="E230" s="18" t="str">
        <x:v>Inferior a 240.000</x:v>
      </x:c>
      <x:c r="F230" s="18" t="str">
        <x:v>Reserva: NO cumple demanda autorizada</x:v>
      </x:c>
      <x:c r="G230" s="18" t="str">
        <x:v>Ciencia</x:v>
      </x:c>
      <x:c r="H230" s="18" t="str">
        <x:v>https://tools.usefulverse.com/tools/3d-function-grapher/</x:v>
      </x:c>
      <x:c r="I230" s="18" t="str">
        <x:v>Representar superficies y curvas espaciales con cortes y exportación de malla.</x:v>
      </x:c>
      <x:c r="J230" s="18" t="str">
        <x:v>function-grapher grafica polinomios 2D; no superficies con dos variables.</x:v>
      </x:c>
      <x:c r="K230" s="18" t="str">
        <x:v>Evaluador seguro y WebGL local.</x:v>
      </x:c>
      <x:c r="L230" s="18" t="str">
        <x:v>Cálculo/editor/juego local propuesto</x:v>
      </x:c>
      <x:c r="M230" s="18" t="str">
        <x:v>Revisar motor, recursos y dependencias</x:v>
      </x:c>
      <x:c r="N230" s="18" t="str">
        <x:v>Interfaz en 37 idiomas; idioma no elige país ni reglas. Formatos Intl, RTL y datos/lexicón de idioma con cobertura explícita.</x:v>
      </x:c>
      <x:c r="O230" s="18" t="str">
        <x:v>global-candidates.json</x:v>
      </x:c>
      <x:c r="P230" s="18" t="str">
        <x:v>2025-10 / 2026-09</x:v>
      </x:c>
      <x:c r="Q230" s="18" t="str">
        <x:v>M</x:v>
      </x:c>
      <x:c r="R230" s="18" t="str">
        <x:v>UV0914</x:v>
      </x:c>
      <x:c r="S230" s="18" t="str">
        <x:v>Pendiente de fuente específica antes de implementar</x:v>
      </x:c>
    </x:row>
    <x:row r="231" ht="64" customHeight="1">
      <x:c r="A231" s="18" t="n">
        <x:v>215</x:v>
      </x:c>
      <x:c r="B231" s="18" t="str">
        <x:v>Editor de modelos 3D</x:v>
      </x:c>
      <x:c r="C231" s="18" t="str">
        <x:v>3d modeling online</x:v>
      </x:c>
      <x:c r="D231" s="19" t="n">
        <x:v>12100</x:v>
      </x:c>
      <x:c r="E231" s="18" t="str">
        <x:v>Inferior a 240.000</x:v>
      </x:c>
      <x:c r="F231" s="18" t="str">
        <x:v>Reserva: NO cumple demanda autorizada</x:v>
      </x:c>
      <x:c r="G231" s="18" t="str">
        <x:v>Creatividad</x:v>
      </x:c>
      <x:c r="H231" s="18" t="str">
        <x:v>https://tools.usefulverse.com/tools/3d-model-editor/</x:v>
      </x:c>
      <x:c r="I231" s="18" t="str">
        <x:v>Crear y modificar mallas sencillas con operaciones de extrusión y exportación.</x:v>
      </x:c>
      <x:c r="J231" s="18" t="str">
        <x:v>3d-model-viewer visualiza archivos; no modifica geometría.</x:v>
      </x:c>
      <x:c r="K231" s="18" t="str">
        <x:v>Motor WebGL local y exportación glTF/OBJ sin nube.</x:v>
      </x:c>
      <x:c r="L231" s="18" t="str">
        <x:v>Cálculo/editor/juego local propuesto</x:v>
      </x:c>
      <x:c r="M231" s="18" t="str">
        <x:v>Revisar motor, recursos y dependencias</x:v>
      </x:c>
      <x:c r="N231" s="18" t="str">
        <x:v>Interfaz en 37 idiomas; idioma no elige país ni reglas. Formatos Intl, RTL y datos/lexicón de idioma con cobertura explícita.</x:v>
      </x:c>
      <x:c r="O231" s="18" t="str">
        <x:v>global-candidates.json</x:v>
      </x:c>
      <x:c r="P231" s="18" t="str">
        <x:v>2025-10 / 2026-09</x:v>
      </x:c>
      <x:c r="Q231" s="18" t="str">
        <x:v>M</x:v>
      </x:c>
      <x:c r="R231" s="18" t="str">
        <x:v>UV0915</x:v>
      </x:c>
      <x:c r="S231" s="18" t="str">
        <x:v>Pendiente de fuente específica antes de implementar</x:v>
      </x:c>
    </x:row>
    <x:row r="232" ht="64" customHeight="1">
      <x:c r="A232" s="18" t="n">
        <x:v>216</x:v>
      </x:c>
      <x:c r="B232" s="18" t="str">
        <x:v>Banco de respuestas API simuladas</x:v>
      </x:c>
      <x:c r="C232" s="18" t="str">
        <x:v>mock api</x:v>
      </x:c>
      <x:c r="D232" s="19" t="n">
        <x:v>12100</x:v>
      </x:c>
      <x:c r="E232" s="18" t="str">
        <x:v>Inferior a 240.000</x:v>
      </x:c>
      <x:c r="F232" s="18" t="str">
        <x:v>Reserva: NO cumple demanda autorizada</x:v>
      </x:c>
      <x:c r="G232" s="18" t="str">
        <x:v>Desarrollo</x:v>
      </x:c>
      <x:c r="H232" s="18" t="str">
        <x:v>https://tools.usefulverse.com/tools/api-mock-workbench/</x:v>
      </x:c>
      <x:c r="I232" s="18" t="str">
        <x:v>Definir rutas y respuestas y probar un cliente en un sandbox local reproducible.</x:v>
      </x:c>
      <x:c r="J232" s="18" t="str">
        <x:v>api-request-builder solo crea un comando; no simula respuestas ni flujos.</x:v>
      </x:c>
      <x:c r="K232" s="18" t="str">
        <x:v>Service Worker o sandbox propio, sin prometer URL pública alojada.</x:v>
      </x:c>
      <x:c r="L232" s="18" t="str">
        <x:v>Cálculo/editor/juego local propuesto</x:v>
      </x:c>
      <x:c r="M232" s="18" t="str">
        <x:v>Revisar motor, recursos y dependencias</x:v>
      </x:c>
      <x:c r="N232" s="18" t="str">
        <x:v>Interfaz en 37 idiomas; idioma no elige país ni reglas. Formatos Intl, RTL y datos/lexicón de idioma con cobertura explícita.</x:v>
      </x:c>
      <x:c r="O232" s="18" t="str">
        <x:v>global-candidates.json</x:v>
      </x:c>
      <x:c r="P232" s="18" t="str">
        <x:v>2025-10 / 2026-09</x:v>
      </x:c>
      <x:c r="Q232" s="18" t="str">
        <x:v>M</x:v>
      </x:c>
      <x:c r="R232" s="18" t="str">
        <x:v>UV0916</x:v>
      </x:c>
      <x:c r="S232" s="18" t="str">
        <x:v>Pendiente de fuente específica antes de implementar</x:v>
      </x:c>
    </x:row>
    <x:row r="233" ht="64" customHeight="1">
      <x:c r="A233" s="18" t="n">
        <x:v>217</x:v>
      </x:c>
      <x:c r="B233" s="18" t="str">
        <x:v>Registro de presión arterial</x:v>
      </x:c>
      <x:c r="C233" s="18" t="str">
        <x:v>blood pressure log</x:v>
      </x:c>
      <x:c r="D233" s="19" t="n">
        <x:v>12100</x:v>
      </x:c>
      <x:c r="E233" s="18" t="str">
        <x:v>Inferior a 240.000</x:v>
      </x:c>
      <x:c r="F233" s="18" t="str">
        <x:v>Reserva: NO cumple demanda autorizada</x:v>
      </x:c>
      <x:c r="G233" s="18" t="str">
        <x:v>Bienestar</x:v>
      </x:c>
      <x:c r="H233" s="18" t="str">
        <x:v>https://tools.usefulverse.com/tools/blood-pressure-log/</x:v>
      </x:c>
      <x:c r="I233" s="18" t="str">
        <x:v>Registrar medidas, técnica y promedios y exportar un informe para consulta.</x:v>
      </x:c>
      <x:c r="J233" s="18" t="str">
        <x:v>No hay registro de mediciones de presión; no confundir con pressure-calculator física.</x:v>
      </x:c>
      <x:c r="K233" s="18" t="str">
        <x:v>Categorías de guía elegible, sin diagnóstico por una lectura aislada.</x:v>
      </x:c>
      <x:c r="L233" s="18" t="str">
        <x:v>Cálculo/editor/juego local propuesto</x:v>
      </x:c>
      <x:c r="M233" s="18" t="str">
        <x:v>Revisar motor, recursos y dependencias</x:v>
      </x:c>
      <x:c r="N233" s="18" t="str">
        <x:v>Interfaz en 37 idiomas; idioma no elige país ni reglas. Formatos Intl, RTL y datos/lexicón de idioma con cobertura explícita.</x:v>
      </x:c>
      <x:c r="O233" s="18" t="str">
        <x:v>global-refinement.json</x:v>
      </x:c>
      <x:c r="P233" s="18" t="str">
        <x:v>2025-10 / 2026-09</x:v>
      </x:c>
      <x:c r="Q233" s="18" t="str">
        <x:v>L</x:v>
      </x:c>
      <x:c r="R233" s="18" t="str">
        <x:v>UV0917</x:v>
      </x:c>
      <x:c r="S233" s="18" t="str">
        <x:v>Pendiente de fuente específica antes de implementar</x:v>
      </x:c>
    </x:row>
    <x:row r="234" ht="64" customHeight="1">
      <x:c r="A234" s="18" t="n">
        <x:v>218</x:v>
      </x:c>
      <x:c r="B234" s="18" t="str">
        <x:v>Creador de cómics</x:v>
      </x:c>
      <x:c r="C234" s="18" t="str">
        <x:v>comic maker</x:v>
      </x:c>
      <x:c r="D234" s="19" t="n">
        <x:v>12100</x:v>
      </x:c>
      <x:c r="E234" s="18" t="str">
        <x:v>Inferior a 240.000</x:v>
      </x:c>
      <x:c r="F234" s="18" t="str">
        <x:v>Reserva: NO cumple demanda autorizada</x:v>
      </x:c>
      <x:c r="G234" s="18" t="str">
        <x:v>Creatividad</x:v>
      </x:c>
      <x:c r="H234" s="18" t="str">
        <x:v>https://tools.usefulverse.com/tools/comic-maker/</x:v>
      </x:c>
      <x:c r="I234" s="18" t="str">
        <x:v>Organizar viñetas, personajes propios y bocadillos y exportar páginas.</x:v>
      </x:c>
      <x:c r="J234" s="18" t="str">
        <x:v>poster-maker e invitation-maker no modelan secuencia de viñetas y diálogo.</x:v>
      </x:c>
      <x:c r="K234" s="18" t="str">
        <x:v>Recursos propios o abiertos; lectura izquierda-derecha o derecha-izquierda.</x:v>
      </x:c>
      <x:c r="L234" s="18" t="str">
        <x:v>Cálculo/editor/juego local propuesto</x:v>
      </x:c>
      <x:c r="M234" s="18" t="str">
        <x:v>Revisar motor, recursos y dependencias</x:v>
      </x:c>
      <x:c r="N234" s="18" t="str">
        <x:v>Interfaz en 37 idiomas; idioma no elige país ni reglas. Formatos Intl, RTL y datos/lexicón de idioma con cobertura explícita.</x:v>
      </x:c>
      <x:c r="O234" s="18" t="str">
        <x:v>global-candidates.json</x:v>
      </x:c>
      <x:c r="P234" s="18" t="str">
        <x:v>2025-10 / 2026-09</x:v>
      </x:c>
      <x:c r="Q234" s="18" t="str">
        <x:v>M</x:v>
      </x:c>
      <x:c r="R234" s="18" t="str">
        <x:v>UV0918</x:v>
      </x:c>
      <x:c r="S234" s="18" t="str">
        <x:v>Pendiente de fuente específica antes de implementar</x:v>
      </x:c>
    </x:row>
    <x:row r="235" ht="64" customHeight="1">
      <x:c r="A235" s="18" t="n">
        <x:v>219</x:v>
      </x:c>
      <x:c r="B235" s="18" t="str">
        <x:v>Exención HRA de India</x:v>
      </x:c>
      <x:c r="C235" s="18" t="str">
        <x:v>hra calculator</x:v>
      </x:c>
      <x:c r="D235" s="19" t="n">
        <x:v>12100</x:v>
      </x:c>
      <x:c r="E235" s="18" t="str">
        <x:v>Inferior a 240.000</x:v>
      </x:c>
      <x:c r="F235" s="18" t="str">
        <x:v>Reserva: NO cumple demanda autorizada</x:v>
      </x:c>
      <x:c r="G235" s="18" t="str">
        <x:v>Finanzas</x:v>
      </x:c>
      <x:c r="H235" s="18" t="str">
        <x:v>https://tools.usefulverse.com/tools/india-hra-exemption/</x:v>
      </x:c>
      <x:c r="I235" s="18" t="str">
        <x:v>Comparar componentes legales de exención HRA por salario, renta y ciudad.</x:v>
      </x:c>
      <x:c r="J235" s="18" t="str">
        <x:v>tax-calculator aplica una tasa; no compara las tres bases de exención.</x:v>
      </x:c>
      <x:c r="K235" s="18" t="str">
        <x:v>Régimen fiscal y ejercicio explícitos, con documentos oficiales.</x:v>
      </x:c>
      <x:c r="L235" s="18" t="str">
        <x:v>Cálculo/editor/juego local propuesto</x:v>
      </x:c>
      <x:c r="M235" s="18" t="str">
        <x:v>Alta: normativa y tablas por ejercicio</x:v>
      </x:c>
      <x:c r="N235" s="18" t="str">
        <x:v>Interfaz en 37 idiomas; idioma no elige país ni reglas. Jurisdicción y año visibles; fuentes oficiales del país.</x:v>
      </x:c>
      <x:c r="O235" s="18" t="str">
        <x:v>global-candidates.json</x:v>
      </x:c>
      <x:c r="P235" s="18" t="str">
        <x:v>2025-10 / 2026-09</x:v>
      </x:c>
      <x:c r="Q235" s="18" t="str">
        <x:v>L</x:v>
      </x:c>
      <x:c r="R235" s="18" t="str">
        <x:v>UV0919</x:v>
      </x:c>
      <x:c r="S235" s="18" t="str">
        <x:v>Pendiente de fuente específica antes de implementar</x:v>
      </x:c>
    </x:row>
    <x:row r="236" ht="64" customHeight="1">
      <x:c r="A236" s="18" t="n">
        <x:v>220</x:v>
      </x:c>
      <x:c r="B236" s="18" t="str">
        <x:v>Reparto sucesorio por reglas elegidas</x:v>
      </x:c>
      <x:c r="C236" s="18" t="str">
        <x:v>islamic inheritance calculator</x:v>
      </x:c>
      <x:c r="D236" s="19" t="n">
        <x:v>12100</x:v>
      </x:c>
      <x:c r="E236" s="18" t="str">
        <x:v>Inferior a 240.000</x:v>
      </x:c>
      <x:c r="F236" s="18" t="str">
        <x:v>Reserva: NO cumple demanda autorizada</x:v>
      </x:c>
      <x:c r="G236" s="18" t="str">
        <x:v>Vida</x:v>
      </x:c>
      <x:c r="H236" s="18" t="str">
        <x:v>https://tools.usefulverse.com/tools/inheritance-shares-calculator/</x:v>
      </x:c>
      <x:c r="I236" s="18" t="str">
        <x:v>Calcular participaciones bajo un sistema sucesorio seleccionado y mostrar exclusiones.</x:v>
      </x:c>
      <x:c r="J236" s="18" t="str">
        <x:v>switzerland-inheritance-gift-tax-calculator calcula impuesto, no reparto entre herederos.</x:v>
      </x:c>
      <x:c r="K236" s="18" t="str">
        <x:v>Fuentes y escuela jurídica declaradas; no sustituye resolución legal.</x:v>
      </x:c>
      <x:c r="L236" s="18" t="str">
        <x:v>Cálculo/editor/juego local propuesto</x:v>
      </x:c>
      <x:c r="M236" s="18" t="str">
        <x:v>Revisar motor, recursos y dependencias</x:v>
      </x:c>
      <x:c r="N236" s="18" t="str">
        <x:v>Interfaz en 37 idiomas; idioma no elige país ni reglas. Formatos Intl, RTL y datos/lexicón de idioma con cobertura explícita.</x:v>
      </x:c>
      <x:c r="O236" s="18" t="str">
        <x:v>global-candidates.json</x:v>
      </x:c>
      <x:c r="P236" s="18" t="str">
        <x:v>2025-10 / 2026-09</x:v>
      </x:c>
      <x:c r="Q236" s="18" t="str">
        <x:v>M</x:v>
      </x:c>
      <x:c r="R236" s="18" t="str">
        <x:v>UV0920</x:v>
      </x:c>
      <x:c r="S236" s="18" t="str">
        <x:v>Pendiente de fuente específica antes de implementar</x:v>
      </x:c>
    </x:row>
    <x:row r="237" ht="64" customHeight="1">
      <x:c r="A237" s="18" t="n">
        <x:v>221</x:v>
      </x:c>
      <x:c r="B237" s="18" t="str">
        <x:v>Unidor de panorámicas</x:v>
      </x:c>
      <x:c r="C237" s="18" t="str">
        <x:v>stitch photos</x:v>
      </x:c>
      <x:c r="D237" s="19" t="n">
        <x:v>12100</x:v>
      </x:c>
      <x:c r="E237" s="18" t="str">
        <x:v>Inferior a 240.000</x:v>
      </x:c>
      <x:c r="F237" s="18" t="str">
        <x:v>Reserva: NO cumple demanda autorizada</x:v>
      </x:c>
      <x:c r="G237" s="18" t="str">
        <x:v>Creatividad</x:v>
      </x:c>
      <x:c r="H237" s="18" t="str">
        <x:v>https://tools.usefulverse.com/tools/panorama-stitcher/</x:v>
      </x:c>
      <x:c r="I237" s="18" t="str">
        <x:v>Alinear fotos superpuestas, corregir exposición y unir una panorámica.</x:v>
      </x:c>
      <x:c r="J237" s="18" t="str">
        <x:v>image-collage-maker coloca fotos en celdas sin registro geométrico.</x:v>
      </x:c>
      <x:c r="K237" s="18" t="str">
        <x:v>OpenCV WASM y límites de memoria.</x:v>
      </x:c>
      <x:c r="L237" s="18" t="str">
        <x:v>Cálculo/editor/juego local propuesto</x:v>
      </x:c>
      <x:c r="M237" s="18" t="str">
        <x:v>Revisar motor, recursos y dependencias</x:v>
      </x:c>
      <x:c r="N237" s="18" t="str">
        <x:v>Interfaz en 37 idiomas; idioma no elige país ni reglas. Formatos Intl, RTL y datos/lexicón de idioma con cobertura explícita.</x:v>
      </x:c>
      <x:c r="O237" s="18" t="str">
        <x:v>global-candidates.json</x:v>
      </x:c>
      <x:c r="P237" s="18" t="str">
        <x:v>2025-10 / 2026-09</x:v>
      </x:c>
      <x:c r="Q237" s="18" t="str">
        <x:v>M</x:v>
      </x:c>
      <x:c r="R237" s="18" t="str">
        <x:v>UV0921</x:v>
      </x:c>
      <x:c r="S237" s="18" t="str">
        <x:v>Pendiente de fuente específica antes de implementar</x:v>
      </x:c>
    </x:row>
    <x:row r="238" ht="64" customHeight="1">
      <x:c r="A238" s="18" t="n">
        <x:v>222</x:v>
      </x:c>
      <x:c r="B238" s="18" t="str">
        <x:v>Comprobador de contraseñas expuestas</x:v>
      </x:c>
      <x:c r="C238" s="18" t="str">
        <x:v>pwned passwords</x:v>
      </x:c>
      <x:c r="D238" s="19" t="n">
        <x:v>12100</x:v>
      </x:c>
      <x:c r="E238" s="18" t="str">
        <x:v>Inferior a 240.000</x:v>
      </x:c>
      <x:c r="F238" s="18" t="str">
        <x:v>Reserva: NO cumple demanda autorizada</x:v>
      </x:c>
      <x:c r="G238" s="18" t="str">
        <x:v>Desarrollo</x:v>
      </x:c>
      <x:c r="H238" s="18" t="str">
        <x:v>https://tools.usefulverse.com/tools/password-breach-checker/</x:v>
      </x:c>
      <x:c r="I238" s="18" t="str">
        <x:v>Comprobar coincidencia de hash mediante consulta por prefijo sin enviar la contraseña.</x:v>
      </x:c>
      <x:c r="J238" s="18" t="str">
        <x:v>sha256-hash-generator calcula huellas; no consulta un corpus de filtraciones.</x:v>
      </x:c>
      <x:c r="K238" s="18" t="str">
        <x:v>Permiso del API y k-anonimato; no usar la marca general como volumen propio.</x:v>
      </x:c>
      <x:c r="L238" s="18" t="str">
        <x:v>Servicio/datos externos: condiciones y cuotas pendientes</x:v>
      </x:c>
      <x:c r="M238" s="18" t="str">
        <x:v>Datos: revisar fuente, licencia y cadencia</x:v>
      </x:c>
      <x:c r="N238" s="18" t="str">
        <x:v>Interfaz en 37 idiomas; idioma no elige país ni reglas. Formatos Intl, RTL y datos/lexicón de idioma con cobertura explícita.</x:v>
      </x:c>
      <x:c r="O238" s="18" t="str">
        <x:v>global-candidates.json</x:v>
      </x:c>
      <x:c r="P238" s="18" t="str">
        <x:v>2025-10 / 2026-09</x:v>
      </x:c>
      <x:c r="Q238" s="18" t="str">
        <x:v>L</x:v>
      </x:c>
      <x:c r="R238" s="18" t="str">
        <x:v>UV0922</x:v>
      </x:c>
      <x:c r="S238" s="18" t="str">
        <x:v>Pendiente de fuente específica antes de implementar</x:v>
      </x:c>
    </x:row>
    <x:row r="239" ht="64" customHeight="1">
      <x:c r="A239" s="18" t="n">
        <x:v>223</x:v>
      </x:c>
      <x:c r="B239" s="18" t="str">
        <x:v>Patrones de costura a medida</x:v>
      </x:c>
      <x:c r="C239" s="18" t="str">
        <x:v>pattern maker</x:v>
      </x:c>
      <x:c r="D239" s="19" t="n">
        <x:v>12100</x:v>
      </x:c>
      <x:c r="E239" s="18" t="str">
        <x:v>Inferior a 240.000</x:v>
      </x:c>
      <x:c r="F239" s="18" t="str">
        <x:v>Reserva: NO cumple demanda autorizada</x:v>
      </x:c>
      <x:c r="G239" s="18" t="str">
        <x:v>Creatividad</x:v>
      </x:c>
      <x:c r="H239" s="18" t="str">
        <x:v>https://tools.usefulverse.com/tools/sewing-pattern-drafter/</x:v>
      </x:c>
      <x:c r="I239" s="18" t="str">
        <x:v>Introducir medidas, holgura y prenda base para generar un patrón imprimible.</x:v>
      </x:c>
      <x:c r="J239" s="18" t="str">
        <x:v>room-planner y printable-label-maker no calculan geometría de prendas.</x:v>
      </x:c>
      <x:c r="K239" s="18" t="str">
        <x:v>Método de patronaje permitido, escala y prueba de impresión obligatorias.</x:v>
      </x:c>
      <x:c r="L239" s="18" t="str">
        <x:v>Cálculo/editor/juego local propuesto</x:v>
      </x:c>
      <x:c r="M239" s="18" t="str">
        <x:v>Revisar motor, recursos y dependencias</x:v>
      </x:c>
      <x:c r="N239" s="18" t="str">
        <x:v>Interfaz en 37 idiomas; idioma no elige país ni reglas. Formatos Intl, RTL y datos/lexicón de idioma con cobertura explícita.</x:v>
      </x:c>
      <x:c r="O239" s="18" t="str">
        <x:v>global-candidates.json</x:v>
      </x:c>
      <x:c r="P239" s="18" t="str">
        <x:v>2025-10 / 2026-09</x:v>
      </x:c>
      <x:c r="Q239" s="18" t="str">
        <x:v>M</x:v>
      </x:c>
      <x:c r="R239" s="18" t="str">
        <x:v>UV0923</x:v>
      </x:c>
      <x:c r="S239" s="18" t="str">
        <x:v>Pendiente de fuente específica antes de implementar</x:v>
      </x:c>
    </x:row>
    <x:row r="240" ht="64" customHeight="1">
      <x:c r="A240" s="18" t="n">
        <x:v>224</x:v>
      </x:c>
      <x:c r="B240" s="18" t="str">
        <x:v>Escenarios de conversión Roth</x:v>
      </x:c>
      <x:c r="C240" s="18" t="str">
        <x:v>roth conversion</x:v>
      </x:c>
      <x:c r="D240" s="19" t="n">
        <x:v>12100</x:v>
      </x:c>
      <x:c r="E240" s="18" t="str">
        <x:v>Inferior a 240.000</x:v>
      </x:c>
      <x:c r="F240" s="18" t="str">
        <x:v>Reserva: NO cumple demanda autorizada</x:v>
      </x:c>
      <x:c r="G240" s="18" t="str">
        <x:v>Finanzas</x:v>
      </x:c>
      <x:c r="H240" s="18" t="str">
        <x:v>https://tools.usefulverse.com/tools/us-roth-conversion/</x:v>
      </x:c>
      <x:c r="I240" s="18" t="str">
        <x:v>Comparar conversión por años, impuesto incremental y saldo con retiro.</x:v>
      </x:c>
      <x:c r="J240" s="18" t="str">
        <x:v>roth-vs-traditional-calculator compara aportaciones, no el calendario de convertir un saldo existente.</x:v>
      </x:c>
      <x:c r="K240" s="18" t="str">
        <x:v>Tramos y reglas IRS fechados; evitar recomendaciones personales automáticas.</x:v>
      </x:c>
      <x:c r="L240" s="18" t="str">
        <x:v>Cálculo/editor/juego local propuesto</x:v>
      </x:c>
      <x:c r="M240" s="18" t="str">
        <x:v>Alta: normativa y tablas por ejercicio</x:v>
      </x:c>
      <x:c r="N240" s="18" t="str">
        <x:v>Interfaz en 37 idiomas; idioma no elige país ni reglas. Jurisdicción y año visibles; fuentes oficiales del país.</x:v>
      </x:c>
      <x:c r="O240" s="18" t="str">
        <x:v>global-candidates.json</x:v>
      </x:c>
      <x:c r="P240" s="18" t="str">
        <x:v>2025-10 / 2026-09</x:v>
      </x:c>
      <x:c r="Q240" s="18" t="str">
        <x:v>L</x:v>
      </x:c>
      <x:c r="R240" s="18" t="str">
        <x:v>UV0924</x:v>
      </x:c>
      <x:c r="S240" s="18" t="str">
        <x:v>https://www.irs.gov/payments/tax-withholding</x:v>
      </x:c>
    </x:row>
    <x:row r="241" ht="64" customHeight="1">
      <x:c r="A241" s="18" t="n">
        <x:v>225</x:v>
      </x:c>
      <x:c r="B241" s="18" t="str">
        <x:v>Impuesto de autónomos de Estados Unidos</x:v>
      </x:c>
      <x:c r="C241" s="18" t="str">
        <x:v>self employment tax calculator</x:v>
      </x:c>
      <x:c r="D241" s="19" t="n">
        <x:v>12100</x:v>
      </x:c>
      <x:c r="E241" s="18" t="str">
        <x:v>Inferior a 240.000</x:v>
      </x:c>
      <x:c r="F241" s="18" t="str">
        <x:v>Reserva: NO cumple demanda autorizada</x:v>
      </x:c>
      <x:c r="G241" s="18" t="str">
        <x:v>Finanzas</x:v>
      </x:c>
      <x:c r="H241" s="18" t="str">
        <x:v>https://tools.usefulverse.com/tools/us-self-employment-tax/</x:v>
      </x:c>
      <x:c r="I241" s="18" t="str">
        <x:v>Calcular SE tax, límites y deducción de mitad de contribución con ingresos netos.</x:v>
      </x:c>
      <x:c r="J241" s="18" t="str">
        <x:v>No hay cálculo específico de Schedule SE y coordinación de bases.</x:v>
      </x:c>
      <x:c r="K241" s="18" t="str">
        <x:v>Fuentes IRS vigentes y alcance tributario limitado.</x:v>
      </x:c>
      <x:c r="L241" s="18" t="str">
        <x:v>Cálculo/editor/juego local propuesto</x:v>
      </x:c>
      <x:c r="M241" s="18" t="str">
        <x:v>Alta: normativa y tablas por ejercicio</x:v>
      </x:c>
      <x:c r="N241" s="18" t="str">
        <x:v>Interfaz en 37 idiomas; idioma no elige país ni reglas. Jurisdicción y año visibles; fuentes oficiales del país.</x:v>
      </x:c>
      <x:c r="O241" s="18" t="str">
        <x:v>global-candidates.json</x:v>
      </x:c>
      <x:c r="P241" s="18" t="str">
        <x:v>2025-10 / 2026-09</x:v>
      </x:c>
      <x:c r="Q241" s="18" t="str">
        <x:v>L</x:v>
      </x:c>
      <x:c r="R241" s="18" t="str">
        <x:v>UV0925</x:v>
      </x:c>
      <x:c r="S241" s="18" t="str">
        <x:v>https://www.irs.gov/payments/tax-withholding</x:v>
      </x:c>
    </x:row>
    <x:row r="242" ht="64" customHeight="1">
      <x:c r="A242" s="18" t="n">
        <x:v>226</x:v>
      </x:c>
      <x:c r="B242" s="18" t="str">
        <x:v>Probador virtual de prendas</x:v>
      </x:c>
      <x:c r="C242" s="18" t="str">
        <x:v>virtual try on</x:v>
      </x:c>
      <x:c r="D242" s="19" t="n">
        <x:v>12100</x:v>
      </x:c>
      <x:c r="E242" s="18" t="str">
        <x:v>Inferior a 240.000</x:v>
      </x:c>
      <x:c r="F242" s="18" t="str">
        <x:v>Reserva: NO cumple demanda autorizada</x:v>
      </x:c>
      <x:c r="G242" s="18" t="str">
        <x:v>Creatividad</x:v>
      </x:c>
      <x:c r="H242" s="18" t="str">
        <x:v>https://tools.usefulverse.com/tools/virtual-try-on/</x:v>
      </x:c>
      <x:c r="I242" s="18" t="str">
        <x:v>Superponer una prenda propia sobre una imagen con controles de ajuste y vista comparativa.</x:v>
      </x:c>
      <x:c r="J242" s="18" t="str">
        <x:v>mockup-generator inserta arte en un soporte; no adapta una prenda al cuerpo.</x:v>
      </x:c>
      <x:c r="K242" s="18" t="str">
        <x:v>Modelo o deformación local, licencia y rendimiento; no garantizar talla o ajuste físico.</x:v>
      </x:c>
      <x:c r="L242" s="18" t="str">
        <x:v>Modelo local: licencia y rendimiento pendientes</x:v>
      </x:c>
      <x:c r="M242" s="18" t="str">
        <x:v>Revisar motor, recursos y dependencias</x:v>
      </x:c>
      <x:c r="N242" s="18" t="str">
        <x:v>Interfaz en 37 idiomas; idioma no elige país ni reglas. Formatos Intl, RTL y datos/lexicón de idioma con cobertura explícita.</x:v>
      </x:c>
      <x:c r="O242" s="18" t="str">
        <x:v>global-extras.json</x:v>
      </x:c>
      <x:c r="P242" s="18" t="str">
        <x:v>2025-10 / 2026-09</x:v>
      </x:c>
      <x:c r="Q242" s="18" t="str">
        <x:v>L</x:v>
      </x:c>
      <x:c r="R242" s="18" t="str">
        <x:v>UV0926</x:v>
      </x:c>
      <x:c r="S242" s="18" t="str">
        <x:v>https://github.com/huggingface/transformers.js</x:v>
      </x:c>
    </x:row>
    <x:row r="243" ht="64" customHeight="1">
      <x:c r="A243" s="18" t="n">
        <x:v>227</x:v>
      </x:c>
      <x:c r="B243" s="18" t="str">
        <x:v>Calcudoku</x:v>
      </x:c>
      <x:c r="C243" s="18" t="str">
        <x:v>calcudoku</x:v>
      </x:c>
      <x:c r="D243" s="19" t="n">
        <x:v>9900</x:v>
      </x:c>
      <x:c r="E243" s="18" t="str">
        <x:v>Inferior a 240.000</x:v>
      </x:c>
      <x:c r="F243" s="18" t="str">
        <x:v>Reserva: NO cumple demanda autorizada</x:v>
      </x:c>
      <x:c r="G243" s="18" t="str">
        <x:v>Juegos</x:v>
      </x:c>
      <x:c r="H243" s="18" t="str">
        <x:v>https://tools.usefulverse.com/tools/calcudoku/</x:v>
      </x:c>
      <x:c r="I243" s="18" t="str">
        <x:v>Rellenar una cuadrícula latina con operaciones y resultados por jaula.</x:v>
      </x:c>
      <x:c r="J243" s="18" t="str">
        <x:v>killer-sudoku usa sumas y reglas de cajas; Calcudoku incluye operaciones y no cajas.</x:v>
      </x:c>
      <x:c r="K243" s="18" t="str">
        <x:v>Usar nombre genérico y arte propio; no atribuir demanda de marca KenKen sin validación.</x:v>
      </x:c>
      <x:c r="L243" s="18" t="str">
        <x:v>Cálculo/editor/juego local propuesto</x:v>
      </x:c>
      <x:c r="M243" s="18" t="str">
        <x:v>Revisar motor, recursos y dependencias</x:v>
      </x:c>
      <x:c r="N243" s="18" t="str">
        <x:v>Interfaz en 37 idiomas; idioma no elige país ni reglas. Reglas y variante elegibles; ayudas claras y arte propio.</x:v>
      </x:c>
      <x:c r="O243" s="18" t="str">
        <x:v>global-candidates.json</x:v>
      </x:c>
      <x:c r="P243" s="18" t="str">
        <x:v>2025-10 / 2026-09</x:v>
      </x:c>
      <x:c r="Q243" s="18" t="str">
        <x:v>M</x:v>
      </x:c>
      <x:c r="R243" s="18" t="str">
        <x:v>UV0927</x:v>
      </x:c>
      <x:c r="S243" s="18" t="str">
        <x:v>Pendiente de fuente específica antes de implementar</x:v>
      </x:c>
    </x:row>
    <x:row r="244" ht="64" customHeight="1">
      <x:c r="A244" s="18" t="n">
        <x:v>228</x:v>
      </x:c>
      <x:c r="B244" s="18" t="str">
        <x:v>Cuadro de Punnett</x:v>
      </x:c>
      <x:c r="C244" s="18" t="str">
        <x:v>punnett square calculator</x:v>
      </x:c>
      <x:c r="D244" s="19" t="n">
        <x:v>9900</x:v>
      </x:c>
      <x:c r="E244" s="18" t="str">
        <x:v>Inferior a 240.000</x:v>
      </x:c>
      <x:c r="F244" s="18" t="str">
        <x:v>Reserva: NO cumple demanda autorizada</x:v>
      </x:c>
      <x:c r="G244" s="18" t="str">
        <x:v>Ciencia</x:v>
      </x:c>
      <x:c r="H244" s="18" t="str">
        <x:v>https://tools.usefulverse.com/tools/genetic-cross-calculator/</x:v>
      </x:c>
      <x:c r="I244" s="18" t="str">
        <x:v>Construir cruces genéticos simples y mostrar genotipos y probabilidades.</x:v>
      </x:c>
      <x:c r="J244" s="18" t="str">
        <x:v>probability-calculator no modela alelos y dominancia.</x:v>
      </x:c>
      <x:c r="K244" s="18" t="str">
        <x:v>Modelo educativo; no predicción genética clínica.</x:v>
      </x:c>
      <x:c r="L244" s="18" t="str">
        <x:v>Cálculo/editor/juego local propuesto</x:v>
      </x:c>
      <x:c r="M244" s="18" t="str">
        <x:v>Revisar motor, recursos y dependencias</x:v>
      </x:c>
      <x:c r="N244" s="18" t="str">
        <x:v>Interfaz en 37 idiomas; idioma no elige país ni reglas. Formatos Intl, RTL y datos/lexicón de idioma con cobertura explícita.</x:v>
      </x:c>
      <x:c r="O244" s="18" t="str">
        <x:v>global-candidates.json</x:v>
      </x:c>
      <x:c r="P244" s="18" t="str">
        <x:v>2025-10 / 2026-09</x:v>
      </x:c>
      <x:c r="Q244" s="18" t="str">
        <x:v>M</x:v>
      </x:c>
      <x:c r="R244" s="18" t="str">
        <x:v>UV0928</x:v>
      </x:c>
      <x:c r="S244" s="18" t="str">
        <x:v>Pendiente de fuente específica antes de implementar</x:v>
      </x:c>
    </x:row>
    <x:row r="245" ht="64" customHeight="1">
      <x:c r="A245" s="18" t="n">
        <x:v>229</x:v>
      </x:c>
      <x:c r="B245" s="18" t="str">
        <x:v>Geometría dinámica</x:v>
      </x:c>
      <x:c r="C245" s="18" t="str">
        <x:v>geometry calculator</x:v>
      </x:c>
      <x:c r="D245" s="19" t="n">
        <x:v>9900</x:v>
      </x:c>
      <x:c r="E245" s="18" t="str">
        <x:v>Inferior a 240.000</x:v>
      </x:c>
      <x:c r="F245" s="18" t="str">
        <x:v>Reserva: NO cumple demanda autorizada</x:v>
      </x:c>
      <x:c r="G245" s="18" t="str">
        <x:v>Ciencia</x:v>
      </x:c>
      <x:c r="H245" s="18" t="str">
        <x:v>https://tools.usefulverse.com/tools/geometry-construction/</x:v>
      </x:c>
      <x:c r="I245" s="18" t="str">
        <x:v>Construir puntos, rectas, circunferencias y restricciones y arrastrar conservando dependencias.</x:v>
      </x:c>
      <x:c r="J245" s="18" t="str">
        <x:v>protractor mide un ángulo; diagram-maker no mantiene restricciones geométricas.</x:v>
      </x:c>
      <x:c r="K245" s="18" t="str">
        <x:v>Motor local y no inferir demanda de calculadora genérica sin intención coincidente.</x:v>
      </x:c>
      <x:c r="L245" s="18" t="str">
        <x:v>Cálculo/editor/juego local propuesto</x:v>
      </x:c>
      <x:c r="M245" s="18" t="str">
        <x:v>Revisar motor, recursos y dependencias</x:v>
      </x:c>
      <x:c r="N245" s="18" t="str">
        <x:v>Interfaz en 37 idiomas; idioma no elige país ni reglas. Formatos Intl, RTL y datos/lexicón de idioma con cobertura explícita.</x:v>
      </x:c>
      <x:c r="O245" s="18" t="str">
        <x:v>global-candidates.json</x:v>
      </x:c>
      <x:c r="P245" s="18" t="str">
        <x:v>2025-10 / 2026-09</x:v>
      </x:c>
      <x:c r="Q245" s="18" t="str">
        <x:v>M</x:v>
      </x:c>
      <x:c r="R245" s="18" t="str">
        <x:v>UV0929</x:v>
      </x:c>
      <x:c r="S245" s="18" t="str">
        <x:v>Pendiente de fuente específica antes de implementar</x:v>
      </x:c>
    </x:row>
    <x:row r="246" ht="64" customHeight="1">
      <x:c r="A246" s="18" t="n">
        <x:v>230</x:v>
      </x:c>
      <x:c r="B246" s="18" t="str">
        <x:v>Auditor de accesibilidad HTML</x:v>
      </x:c>
      <x:c r="C246" s="18" t="str">
        <x:v>accessibility checker</x:v>
      </x:c>
      <x:c r="D246" s="19" t="n">
        <x:v>9900</x:v>
      </x:c>
      <x:c r="E246" s="18" t="str">
        <x:v>Inferior a 240.000</x:v>
      </x:c>
      <x:c r="F246" s="18" t="str">
        <x:v>Reserva: NO cumple demanda autorizada</x:v>
      </x:c>
      <x:c r="G246" s="18" t="str">
        <x:v>Desarrollo</x:v>
      </x:c>
      <x:c r="H246" s="18" t="str">
        <x:v>https://tools.usefulverse.com/tools/html-accessibility-auditor/</x:v>
      </x:c>
      <x:c r="I246" s="18" t="str">
        <x:v>Analizar un HTML local o página autorizada y explicar problemas automáticos de accesibilidad.</x:v>
      </x:c>
      <x:c r="J246" s="18" t="str">
        <x:v>pdf-accessibility-checker revisa señales de PDF; aquí se analiza DOM y semántica web.</x:v>
      </x:c>
      <x:c r="K246" s="18" t="str">
        <x:v>Motor local tipo axe con licencia; cobertura automática parcial, sin certificación.</x:v>
      </x:c>
      <x:c r="L246" s="18" t="str">
        <x:v>Cálculo/editor/juego local propuesto</x:v>
      </x:c>
      <x:c r="M246" s="18" t="str">
        <x:v>Revisar motor, recursos y dependencias</x:v>
      </x:c>
      <x:c r="N246" s="18" t="str">
        <x:v>Interfaz en 37 idiomas; idioma no elige país ni reglas. Formatos Intl, RTL y datos/lexicón de idioma con cobertura explícita.</x:v>
      </x:c>
      <x:c r="O246" s="18" t="str">
        <x:v>global-candidates.json</x:v>
      </x:c>
      <x:c r="P246" s="18" t="str">
        <x:v>2025-10 / 2026-09</x:v>
      </x:c>
      <x:c r="Q246" s="18" t="str">
        <x:v>M</x:v>
      </x:c>
      <x:c r="R246" s="18" t="str">
        <x:v>UV0930</x:v>
      </x:c>
      <x:c r="S246" s="18" t="str">
        <x:v>Pendiente de fuente específica antes de implementar</x:v>
      </x:c>
    </x:row>
    <x:row r="247" ht="64" customHeight="1">
      <x:c r="A247" s="18" t="n">
        <x:v>231</x:v>
      </x:c>
      <x:c r="B247" s="18" t="str">
        <x:v>Transformaciones lineales interactivas</x:v>
      </x:c>
      <x:c r="C247" s="18" t="str">
        <x:v>matrix transformation</x:v>
      </x:c>
      <x:c r="D247" s="19" t="n">
        <x:v>9900</x:v>
      </x:c>
      <x:c r="E247" s="18" t="str">
        <x:v>Inferior a 240.000</x:v>
      </x:c>
      <x:c r="F247" s="18" t="str">
        <x:v>Reserva: NO cumple demanda autorizada</x:v>
      </x:c>
      <x:c r="G247" s="18" t="str">
        <x:v>Ciencia</x:v>
      </x:c>
      <x:c r="H247" s="18" t="str">
        <x:v>https://tools.usefulverse.com/tools/linear-algebra-visualizer/</x:v>
      </x:c>
      <x:c r="I247" s="18" t="str">
        <x:v>Aplicar matrices a vectores y mallas y comparar base, determinante y composición.</x:v>
      </x:c>
      <x:c r="J247" s="18" t="str">
        <x:v>matrix-calculator devuelve operaciones numéricas; no explora transformaciones geométricas.</x:v>
      </x:c>
      <x:c r="K247" s="18" t="str">
        <x:v>Evitar una calculadora duplicada; objetivo educativo visual.</x:v>
      </x:c>
      <x:c r="L247" s="18" t="str">
        <x:v>Cálculo/editor/juego local propuesto</x:v>
      </x:c>
      <x:c r="M247" s="18" t="str">
        <x:v>Revisar motor, recursos y dependencias</x:v>
      </x:c>
      <x:c r="N247" s="18" t="str">
        <x:v>Interfaz en 37 idiomas; idioma no elige país ni reglas. Formatos Intl, RTL y datos/lexicón de idioma con cobertura explícita.</x:v>
      </x:c>
      <x:c r="O247" s="18" t="str">
        <x:v>global-candidates.json</x:v>
      </x:c>
      <x:c r="P247" s="18" t="str">
        <x:v>2025-10 / 2026-09</x:v>
      </x:c>
      <x:c r="Q247" s="18" t="str">
        <x:v>M</x:v>
      </x:c>
      <x:c r="R247" s="18" t="str">
        <x:v>UV0931</x:v>
      </x:c>
      <x:c r="S247" s="18" t="str">
        <x:v>Pendiente de fuente específica antes de implementar</x:v>
      </x:c>
    </x:row>
    <x:row r="248" ht="64" customHeight="1">
      <x:c r="A248" s="18" t="n">
        <x:v>232</x:v>
      </x:c>
      <x:c r="B248" s="18" t="str">
        <x:v>EPF de Malasia</x:v>
      </x:c>
      <x:c r="C248" s="18" t="str">
        <x:v>kwsp calculator</x:v>
      </x:c>
      <x:c r="D248" s="19" t="n">
        <x:v>9900</x:v>
      </x:c>
      <x:c r="E248" s="18" t="str">
        <x:v>Inferior a 240.000</x:v>
      </x:c>
      <x:c r="F248" s="18" t="str">
        <x:v>Reserva: NO cumple demanda autorizada</x:v>
      </x:c>
      <x:c r="G248" s="18" t="str">
        <x:v>Finanzas</x:v>
      </x:c>
      <x:c r="H248" s="18" t="str">
        <x:v>https://tools.usefulverse.com/tools/malaysia-epf/</x:v>
      </x:c>
      <x:c r="I248" s="18" t="str">
        <x:v>Calcular aportes y asignación de cuentas según tabla, edad y categoría.</x:v>
      </x:c>
      <x:c r="J248" s="18" t="str">
        <x:v>india-epf-calculator se refiere a un sistema diferente, no una traducción de KWSP.</x:v>
      </x:c>
      <x:c r="K248" s="18" t="str">
        <x:v>Fuentes KWSP oficiales y fechas de vigencia.</x:v>
      </x:c>
      <x:c r="L248" s="18" t="str">
        <x:v>Cálculo/editor/juego local propuesto</x:v>
      </x:c>
      <x:c r="M248" s="18" t="str">
        <x:v>Alta: normativa y tablas por ejercicio</x:v>
      </x:c>
      <x:c r="N248" s="18" t="str">
        <x:v>Interfaz en 37 idiomas; idioma no elige país ni reglas. Jurisdicción y año visibles; fuentes oficiales del país.</x:v>
      </x:c>
      <x:c r="O248" s="18" t="str">
        <x:v>global-candidates.json</x:v>
      </x:c>
      <x:c r="P248" s="18" t="str">
        <x:v>2025-10 / 2026-09</x:v>
      </x:c>
      <x:c r="Q248" s="18" t="str">
        <x:v>L</x:v>
      </x:c>
      <x:c r="R248" s="18" t="str">
        <x:v>UV0932</x:v>
      </x:c>
      <x:c r="S248" s="18" t="str">
        <x:v>Pendiente de fuente específica antes de implementar</x:v>
      </x:c>
    </x:row>
    <x:row r="249" ht="64" customHeight="1">
      <x:c r="A249" s="18" t="n">
        <x:v>233</x:v>
      </x:c>
      <x:c r="B249" s="18" t="str">
        <x:v>Intervalos musicales</x:v>
      </x:c>
      <x:c r="C249" s="18" t="str">
        <x:v>intervalos musicales</x:v>
      </x:c>
      <x:c r="D249" s="19" t="n">
        <x:v>9900</x:v>
      </x:c>
      <x:c r="E249" s="18" t="str">
        <x:v>Inferior a 240.000</x:v>
      </x:c>
      <x:c r="F249" s="18" t="str">
        <x:v>Reserva: NO cumple demanda autorizada</x:v>
      </x:c>
      <x:c r="G249" s="18" t="str">
        <x:v>Música</x:v>
      </x:c>
      <x:c r="H249" s="18" t="str">
        <x:v>https://tools.usefulverse.com/tools/music-interval-calculator/</x:v>
      </x:c>
      <x:c r="I249" s="18" t="str">
        <x:v>Comparar notas escritas, calcular intervalo diatónico/cromático y escuchar inversiones.</x:v>
      </x:c>
      <x:c r="J249" s="18" t="str">
        <x:v>music-scale-finder muestra escalas; no compara enarmonía e intervalos escritos.</x:v>
      </x:c>
      <x:c r="K249" s="18" t="str">
        <x:v>Gate de independencia respecto a ear-training: cálculo y escritura, no examen auditivo.</x:v>
      </x:c>
      <x:c r="L249" s="18" t="str">
        <x:v>Cálculo/editor/juego local propuesto</x:v>
      </x:c>
      <x:c r="M249" s="18" t="str">
        <x:v>Revisar motor, recursos y dependencias</x:v>
      </x:c>
      <x:c r="N249" s="18" t="str">
        <x:v>Interfaz en 37 idiomas; idioma no elige país ni reglas. Formatos Intl, RTL y datos/lexicón de idioma con cobertura explícita.</x:v>
      </x:c>
      <x:c r="O249" s="18" t="str">
        <x:v>global-candidates.json</x:v>
      </x:c>
      <x:c r="P249" s="18" t="str">
        <x:v>2025-10 / 2026-09</x:v>
      </x:c>
      <x:c r="Q249" s="18" t="str">
        <x:v>M</x:v>
      </x:c>
      <x:c r="R249" s="18" t="str">
        <x:v>UV0933</x:v>
      </x:c>
      <x:c r="S249" s="18" t="str">
        <x:v>Pendiente de fuente específica antes de implementar</x:v>
      </x:c>
    </x:row>
    <x:row r="250" ht="64" customHeight="1">
      <x:c r="A250" s="18" t="n">
        <x:v>234</x:v>
      </x:c>
      <x:c r="B250" s="18" t="str">
        <x:v>Simulador de origami</x:v>
      </x:c>
      <x:c r="C250" s="18" t="str">
        <x:v>origami instructions</x:v>
      </x:c>
      <x:c r="D250" s="19" t="n">
        <x:v>9900</x:v>
      </x:c>
      <x:c r="E250" s="18" t="str">
        <x:v>Inferior a 240.000</x:v>
      </x:c>
      <x:c r="F250" s="18" t="str">
        <x:v>Reserva: NO cumple demanda autorizada</x:v>
      </x:c>
      <x:c r="G250" s="18" t="str">
        <x:v>Creatividad</x:v>
      </x:c>
      <x:c r="H250" s="18" t="str">
        <x:v>https://tools.usefulverse.com/tools/origami-simulator/</x:v>
      </x:c>
      <x:c r="I250" s="18" t="str">
        <x:v>Explorar pliegues de modelos originales y seguir pasos con vista 3D.</x:v>
      </x:c>
      <x:c r="J250" s="18" t="str">
        <x:v>tangram mueve piezas rígidas; no simula pliegues de papel.</x:v>
      </x:c>
      <x:c r="K250" s="18" t="str">
        <x:v>Patrones propios y física aproximada claramente identificada.</x:v>
      </x:c>
      <x:c r="L250" s="18" t="str">
        <x:v>Cálculo/editor/juego local propuesto</x:v>
      </x:c>
      <x:c r="M250" s="18" t="str">
        <x:v>Revisar motor, recursos y dependencias</x:v>
      </x:c>
      <x:c r="N250" s="18" t="str">
        <x:v>Interfaz en 37 idiomas; idioma no elige país ni reglas. Formatos Intl, RTL y datos/lexicón de idioma con cobertura explícita.</x:v>
      </x:c>
      <x:c r="O250" s="18" t="str">
        <x:v>global-candidates.json</x:v>
      </x:c>
      <x:c r="P250" s="18" t="str">
        <x:v>2025-10 / 2026-09</x:v>
      </x:c>
      <x:c r="Q250" s="18" t="str">
        <x:v>M</x:v>
      </x:c>
      <x:c r="R250" s="18" t="str">
        <x:v>UV0934</x:v>
      </x:c>
      <x:c r="S250" s="18" t="str">
        <x:v>Pendiente de fuente específica antes de implementar</x:v>
      </x:c>
    </x:row>
    <x:row r="251" ht="64" customHeight="1">
      <x:c r="A251" s="18" t="n">
        <x:v>235</x:v>
      </x:c>
      <x:c r="B251" s="18" t="str">
        <x:v>Validación de firma PDF</x:v>
      </x:c>
      <x:c r="C251" s="18" t="str">
        <x:v>validate pdf signature</x:v>
      </x:c>
      <x:c r="D251" s="19" t="n">
        <x:v>9900</x:v>
      </x:c>
      <x:c r="E251" s="18" t="str">
        <x:v>Inferior a 240.000</x:v>
      </x:c>
      <x:c r="F251" s="18" t="str">
        <x:v>Reserva: NO cumple demanda autorizada</x:v>
      </x:c>
      <x:c r="G251" s="18" t="str">
        <x:v>Trabajo</x:v>
      </x:c>
      <x:c r="H251" s="18" t="str">
        <x:v>https://tools.usefulverse.com/tools/pdf-digital-signature-validator/</x:v>
      </x:c>
      <x:c r="I251" s="18" t="str">
        <x:v>Inspeccionar integridad de ByteRange y firma, cadena y sello de tiempo disponibles.</x:v>
      </x:c>
      <x:c r="J251" s="18" t="str">
        <x:v>pdf-form-filler dibuja una firma visual; no valida firmas criptográficas del PDF.</x:v>
      </x:c>
      <x:c r="K251" s="18" t="str">
        <x:v>Listas de confianza, revocación y hora no verificadas deben quedar como desconocidas.</x:v>
      </x:c>
      <x:c r="L251" s="18" t="str">
        <x:v>Cálculo/editor/juego local propuesto</x:v>
      </x:c>
      <x:c r="M251" s="18" t="str">
        <x:v>Revisar motor, recursos y dependencias</x:v>
      </x:c>
      <x:c r="N251" s="18" t="str">
        <x:v>Interfaz en 37 idiomas; idioma no elige país ni reglas. Formatos Intl, RTL y datos/lexicón de idioma con cobertura explícita.</x:v>
      </x:c>
      <x:c r="O251" s="18" t="str">
        <x:v>global-candidates.json</x:v>
      </x:c>
      <x:c r="P251" s="18" t="str">
        <x:v>2025-10 / 2026-09</x:v>
      </x:c>
      <x:c r="Q251" s="18" t="str">
        <x:v>M</x:v>
      </x:c>
      <x:c r="R251" s="18" t="str">
        <x:v>UV0935</x:v>
      </x:c>
      <x:c r="S251" s="18" t="str">
        <x:v>Pendiente de fuente específica antes de implementar</x:v>
      </x:c>
    </x:row>
    <x:row r="252" ht="64" customHeight="1">
      <x:c r="A252" s="18" t="n">
        <x:v>236</x:v>
      </x:c>
      <x:c r="B252" s="18" t="str">
        <x:v>Constructor visual de expresiones regulares</x:v>
      </x:c>
      <x:c r="C252" s="18" t="str">
        <x:v>regex generator</x:v>
      </x:c>
      <x:c r="D252" s="19" t="n">
        <x:v>9900</x:v>
      </x:c>
      <x:c r="E252" s="18" t="str">
        <x:v>Inferior a 240.000</x:v>
      </x:c>
      <x:c r="F252" s="18" t="str">
        <x:v>Reserva: NO cumple demanda autorizada</x:v>
      </x:c>
      <x:c r="G252" s="18" t="str">
        <x:v>Desarrollo</x:v>
      </x:c>
      <x:c r="H252" s="18" t="str">
        <x:v>https://tools.usefulverse.com/tools/regex-pattern-builder/</x:v>
      </x:c>
      <x:c r="I252" s="18" t="str">
        <x:v>Construir patrones a partir de clases y ejemplos, explicar y probar coincidencias.</x:v>
      </x:c>
      <x:c r="J252" s="18" t="str">
        <x:v>regex-tester prueba un patrón ya escrito; el nuevo flujo lo diseña visualmente.</x:v>
      </x:c>
      <x:c r="K252" s="18" t="str">
        <x:v>Motor local, sin prometer generación por lenguaje natural sin modelo.</x:v>
      </x:c>
      <x:c r="L252" s="18" t="str">
        <x:v>Cálculo/editor/juego local propuesto</x:v>
      </x:c>
      <x:c r="M252" s="18" t="str">
        <x:v>Revisar motor, recursos y dependencias</x:v>
      </x:c>
      <x:c r="N252" s="18" t="str">
        <x:v>Interfaz en 37 idiomas; idioma no elige país ni reglas. Formatos Intl, RTL y datos/lexicón de idioma con cobertura explícita.</x:v>
      </x:c>
      <x:c r="O252" s="18" t="str">
        <x:v>global-candidates.json</x:v>
      </x:c>
      <x:c r="P252" s="18" t="str">
        <x:v>2025-10 / 2026-09</x:v>
      </x:c>
      <x:c r="Q252" s="18" t="str">
        <x:v>M</x:v>
      </x:c>
      <x:c r="R252" s="18" t="str">
        <x:v>UV0936</x:v>
      </x:c>
      <x:c r="S252" s="18" t="str">
        <x:v>Pendiente de fuente específica antes de implementar</x:v>
      </x:c>
    </x:row>
    <x:row r="253" ht="64" customHeight="1">
      <x:c r="A253" s="18" t="n">
        <x:v>237</x:v>
      </x:c>
      <x:c r="B253" s="18" t="str">
        <x:v>Buscador de siglas</x:v>
      </x:c>
      <x:c r="C253" s="18" t="str">
        <x:v>acronym finder</x:v>
      </x:c>
      <x:c r="D253" s="19" t="n">
        <x:v>8100</x:v>
      </x:c>
      <x:c r="E253" s="18" t="str">
        <x:v>Inferior a 240.000</x:v>
      </x:c>
      <x:c r="F253" s="18" t="str">
        <x:v>Reserva: NO cumple demanda autorizada</x:v>
      </x:c>
      <x:c r="G253" s="18" t="str">
        <x:v>Idiomas</x:v>
      </x:c>
      <x:c r="H253" s="18" t="str">
        <x:v>https://tools.usefulverse.com/tools/acronym-dictionary/</x:v>
      </x:c>
      <x:c r="I253" s="18" t="str">
        <x:v>Buscar expansiones de siglas por ámbito y país con fuentes.</x:v>
      </x:c>
      <x:c r="J253" s="18" t="str">
        <x:v>name-generator crea nombres; no resuelve siglas documentadas.</x:v>
      </x:c>
      <x:c r="K253" s="18" t="str">
        <x:v>Corpus abierto y desambiguación; no inventar expansiones.</x:v>
      </x:c>
      <x:c r="L253" s="18" t="str">
        <x:v>Cálculo/editor/juego local propuesto</x:v>
      </x:c>
      <x:c r="M253" s="18" t="str">
        <x:v>Revisar motor, recursos y dependencias</x:v>
      </x:c>
      <x:c r="N253" s="18" t="str">
        <x:v>Interfaz en 37 idiomas; idioma no elige país ni reglas. Formatos Intl, RTL y datos/lexicón de idioma con cobertura explícita.</x:v>
      </x:c>
      <x:c r="O253" s="18" t="str">
        <x:v>global-candidates.json</x:v>
      </x:c>
      <x:c r="P253" s="18" t="str">
        <x:v>2025-10 / 2026-09</x:v>
      </x:c>
      <x:c r="Q253" s="18" t="str">
        <x:v>M</x:v>
      </x:c>
      <x:c r="R253" s="18" t="str">
        <x:v>UV0937</x:v>
      </x:c>
      <x:c r="S253" s="18" t="str">
        <x:v>Pendiente de fuente específica antes de implementar</x:v>
      </x:c>
    </x:row>
    <x:row r="254" ht="64" customHeight="1">
      <x:c r="A254" s="18" t="n">
        <x:v>238</x:v>
      </x:c>
      <x:c r="B254" s="18" t="str">
        <x:v>Reductor de ruido de audio</x:v>
      </x:c>
      <x:c r="C254" s="18" t="str">
        <x:v>remove background noise</x:v>
      </x:c>
      <x:c r="D254" s="19" t="n">
        <x:v>8100</x:v>
      </x:c>
      <x:c r="E254" s="18" t="str">
        <x:v>Inferior a 240.000</x:v>
      </x:c>
      <x:c r="F254" s="18" t="str">
        <x:v>Reserva: NO cumple demanda autorizada</x:v>
      </x:c>
      <x:c r="G254" s="18" t="str">
        <x:v>Música</x:v>
      </x:c>
      <x:c r="H254" s="18" t="str">
        <x:v>https://tools.usefulverse.com/tools/audio-denoiser/</x:v>
      </x:c>
      <x:c r="I254" s="18" t="str">
        <x:v>Estimar y reducir ruido de una grabación, comparar y exportar audio.</x:v>
      </x:c>
      <x:c r="J254" s="18" t="str">
        <x:v>audio-editor recorta y aplica fades; no estima ruido de fondo.</x:v>
      </x:c>
      <x:c r="K254" s="18" t="str">
        <x:v>Modelo o algoritmo local con licencia, sin prometer recuperar información perdida.</x:v>
      </x:c>
      <x:c r="L254" s="18" t="str">
        <x:v>Modelo local: licencia y rendimiento pendientes</x:v>
      </x:c>
      <x:c r="M254" s="18" t="str">
        <x:v>Revisar motor, recursos y dependencias</x:v>
      </x:c>
      <x:c r="N254" s="18" t="str">
        <x:v>Interfaz en 37 idiomas; idioma no elige país ni reglas. Formatos Intl, RTL y datos/lexicón de idioma con cobertura explícita.</x:v>
      </x:c>
      <x:c r="O254" s="18" t="str">
        <x:v>global-candidates.json</x:v>
      </x:c>
      <x:c r="P254" s="18" t="str">
        <x:v>2025-10 / 2026-09</x:v>
      </x:c>
      <x:c r="Q254" s="18" t="str">
        <x:v>L</x:v>
      </x:c>
      <x:c r="R254" s="18" t="str">
        <x:v>UV0938</x:v>
      </x:c>
      <x:c r="S254" s="18" t="str">
        <x:v>https://github.com/huggingface/transformers.js</x:v>
      </x:c>
    </x:row>
    <x:row r="255" ht="64" customHeight="1">
      <x:c r="A255" s="18" t="n">
        <x:v>239</x:v>
      </x:c>
      <x:c r="B255" s="18" t="str">
        <x:v>Editor de estructuras químicas</x:v>
      </x:c>
      <x:c r="C255" s="18" t="str">
        <x:v>structure drawing</x:v>
      </x:c>
      <x:c r="D255" s="19" t="n">
        <x:v>8100</x:v>
      </x:c>
      <x:c r="E255" s="18" t="str">
        <x:v>Inferior a 240.000</x:v>
      </x:c>
      <x:c r="F255" s="18" t="str">
        <x:v>Reserva: NO cumple demanda autorizada</x:v>
      </x:c>
      <x:c r="G255" s="18" t="str">
        <x:v>Ciencia</x:v>
      </x:c>
      <x:c r="H255" s="18" t="str">
        <x:v>https://tools.usefulverse.com/tools/chemical-structure-editor/</x:v>
      </x:c>
      <x:c r="I255" s="18" t="str">
        <x:v>Dibujar enlaces, validar valencias y exportar SMILES o MOL.</x:v>
      </x:c>
      <x:c r="J255" s="18" t="str">
        <x:v>molecule-viewer muestra una galería; no edita estructuras arbitrarias.</x:v>
      </x:c>
      <x:c r="K255" s="18" t="str">
        <x:v>Motor químico abierto y sin prometer síntesis o seguridad de sustancias.</x:v>
      </x:c>
      <x:c r="L255" s="18" t="str">
        <x:v>Cálculo/editor/juego local propuesto</x:v>
      </x:c>
      <x:c r="M255" s="18" t="str">
        <x:v>Revisar motor, recursos y dependencias</x:v>
      </x:c>
      <x:c r="N255" s="18" t="str">
        <x:v>Interfaz en 37 idiomas; idioma no elige país ni reglas. Formatos Intl, RTL y datos/lexicón de idioma con cobertura explícita.</x:v>
      </x:c>
      <x:c r="O255" s="18" t="str">
        <x:v>global-candidates.json</x:v>
      </x:c>
      <x:c r="P255" s="18" t="str">
        <x:v>2025-10 / 2026-09</x:v>
      </x:c>
      <x:c r="Q255" s="18" t="str">
        <x:v>M</x:v>
      </x:c>
      <x:c r="R255" s="18" t="str">
        <x:v>UV0939</x:v>
      </x:c>
      <x:c r="S255" s="18" t="str">
        <x:v>Pendiente de fuente específica antes de implementar</x:v>
      </x:c>
    </x:row>
    <x:row r="256" ht="64" customHeight="1">
      <x:c r="A256" s="18" t="n">
        <x:v>240</x:v>
      </x:c>
      <x:c r="B256" s="18" t="str">
        <x:v>Generador de gitignore</x:v>
      </x:c>
      <x:c r="C256" s="18" t="str">
        <x:v>gitignore generator</x:v>
      </x:c>
      <x:c r="D256" s="19" t="n">
        <x:v>8100</x:v>
      </x:c>
      <x:c r="E256" s="18" t="str">
        <x:v>Inferior a 240.000</x:v>
      </x:c>
      <x:c r="F256" s="18" t="str">
        <x:v>Reserva: NO cumple demanda autorizada</x:v>
      </x:c>
      <x:c r="G256" s="18" t="str">
        <x:v>Desarrollo</x:v>
      </x:c>
      <x:c r="H256" s="18" t="str">
        <x:v>https://tools.usefulverse.com/tools/gitignore-generator/</x:v>
      </x:c>
      <x:c r="I256" s="18" t="str">
        <x:v>Combinar reglas por lenguaje, editor y sistema y detectar excepciones conflictivas.</x:v>
      </x:c>
      <x:c r="J256" s="18" t="str">
        <x:v>No existe generación de reglas de exclusión Git.</x:v>
      </x:c>
      <x:c r="K256" s="18" t="str">
        <x:v>Plantillas abiertas versionadas y revisión de reglas que ocultan archivos importantes.</x:v>
      </x:c>
      <x:c r="L256" s="18" t="str">
        <x:v>Cálculo/editor/juego local propuesto</x:v>
      </x:c>
      <x:c r="M256" s="18" t="str">
        <x:v>Revisar motor, recursos y dependencias</x:v>
      </x:c>
      <x:c r="N256" s="18" t="str">
        <x:v>Interfaz en 37 idiomas; idioma no elige país ni reglas. Formatos Intl, RTL y datos/lexicón de idioma con cobertura explícita.</x:v>
      </x:c>
      <x:c r="O256" s="18" t="str">
        <x:v>global-initial-screen.json</x:v>
      </x:c>
      <x:c r="P256" s="18" t="str">
        <x:v>2025-10 / 2026-09</x:v>
      </x:c>
      <x:c r="Q256" s="18" t="str">
        <x:v>M</x:v>
      </x:c>
      <x:c r="R256" s="18" t="str">
        <x:v>UV0940</x:v>
      </x:c>
      <x:c r="S256" s="18" t="str">
        <x:v>Pendiente de fuente específica antes de implementar</x:v>
      </x:c>
    </x:row>
    <x:row r="257" ht="64" customHeight="1">
      <x:c r="A257" s="18" t="n">
        <x:v>241</x:v>
      </x:c>
      <x:c r="B257" s="18" t="str">
        <x:v>Fusionador HDR</x:v>
      </x:c>
      <x:c r="C257" s="18" t="str">
        <x:v>hdr photo</x:v>
      </x:c>
      <x:c r="D257" s="19" t="n">
        <x:v>8100</x:v>
      </x:c>
      <x:c r="E257" s="18" t="str">
        <x:v>Inferior a 240.000</x:v>
      </x:c>
      <x:c r="F257" s="18" t="str">
        <x:v>Reserva: NO cumple demanda autorizada</x:v>
      </x:c>
      <x:c r="G257" s="18" t="str">
        <x:v>Creatividad</x:v>
      </x:c>
      <x:c r="H257" s="18" t="str">
        <x:v>https://tools.usefulverse.com/tools/hdr-merger/</x:v>
      </x:c>
      <x:c r="I257" s="18" t="str">
        <x:v>Combinar exposiciones de la misma escena y controlar el mapeo tonal.</x:v>
      </x:c>
      <x:c r="J257" s="18" t="str">
        <x:v>image-editor ajusta una imagen; no reconstruye rango dinámico multiexposición.</x:v>
      </x:c>
      <x:c r="K257" s="18" t="str">
        <x:v>Procesamiento local y límites de movimiento y ghosting.</x:v>
      </x:c>
      <x:c r="L257" s="18" t="str">
        <x:v>Cálculo/editor/juego local propuesto</x:v>
      </x:c>
      <x:c r="M257" s="18" t="str">
        <x:v>Revisar motor, recursos y dependencias</x:v>
      </x:c>
      <x:c r="N257" s="18" t="str">
        <x:v>Interfaz en 37 idiomas; idioma no elige país ni reglas. Formatos Intl, RTL y datos/lexicón de idioma con cobertura explícita.</x:v>
      </x:c>
      <x:c r="O257" s="18" t="str">
        <x:v>global-candidates.json</x:v>
      </x:c>
      <x:c r="P257" s="18" t="str">
        <x:v>2025-10 / 2026-09</x:v>
      </x:c>
      <x:c r="Q257" s="18" t="str">
        <x:v>M</x:v>
      </x:c>
      <x:c r="R257" s="18" t="str">
        <x:v>UV0941</x:v>
      </x:c>
      <x:c r="S257" s="18" t="str">
        <x:v>Pendiente de fuente específica antes de implementar</x:v>
      </x:c>
    </x:row>
    <x:row r="258" ht="64" customHeight="1">
      <x:c r="A258" s="18" t="n">
        <x:v>242</x:v>
      </x:c>
      <x:c r="B258" s="18" t="str">
        <x:v>Raciones energéticas de mascotas</x:v>
      </x:c>
      <x:c r="C258" s="18" t="str">
        <x:v>dog calorie calculator</x:v>
      </x:c>
      <x:c r="D258" s="19" t="n">
        <x:v>8100</x:v>
      </x:c>
      <x:c r="E258" s="18" t="str">
        <x:v>Inferior a 240.000</x:v>
      </x:c>
      <x:c r="F258" s="18" t="str">
        <x:v>Reserva: NO cumple demanda autorizada</x:v>
      </x:c>
      <x:c r="G258" s="18" t="str">
        <x:v>Vida</x:v>
      </x:c>
      <x:c r="H258" s="18" t="str">
        <x:v>https://tools.usefulverse.com/tools/pet-feeding-calculator/</x:v>
      </x:c>
      <x:c r="I258" s="18" t="str">
        <x:v>Estimar rango energético por especie, peso y situación y convertir a pienso por etiqueta.</x:v>
      </x:c>
      <x:c r="J258" s="18" t="str">
        <x:v>pet-age-calculator calcula edad; no energía ni ración según alimento.</x:v>
      </x:c>
      <x:c r="K258" s="18" t="str">
        <x:v>Guías veterinarias públicas y limitaciones por enfermedad y etapa vital.</x:v>
      </x:c>
      <x:c r="L258" s="18" t="str">
        <x:v>Cálculo/editor/juego local propuesto</x:v>
      </x:c>
      <x:c r="M258" s="18" t="str">
        <x:v>Revisar motor, recursos y dependencias</x:v>
      </x:c>
      <x:c r="N258" s="18" t="str">
        <x:v>Interfaz en 37 idiomas; idioma no elige país ni reglas. Formatos Intl, RTL y datos/lexicón de idioma con cobertura explícita.</x:v>
      </x:c>
      <x:c r="O258" s="18" t="str">
        <x:v>global-candidates.json</x:v>
      </x:c>
      <x:c r="P258" s="18" t="str">
        <x:v>2025-10 / 2026-09</x:v>
      </x:c>
      <x:c r="Q258" s="18" t="str">
        <x:v>M</x:v>
      </x:c>
      <x:c r="R258" s="18" t="str">
        <x:v>UV0942</x:v>
      </x:c>
      <x:c r="S258" s="18" t="str">
        <x:v>Pendiente de fuente específica antes de implementar</x:v>
      </x:c>
    </x:row>
    <x:row r="259" ht="64" customHeight="1">
      <x:c r="A259" s="18" t="n">
        <x:v>243</x:v>
      </x:c>
      <x:c r="B259" s="18" t="str">
        <x:v>Contribuciones SSS de Filipinas</x:v>
      </x:c>
      <x:c r="C259" s="18" t="str">
        <x:v>sss contribution table</x:v>
      </x:c>
      <x:c r="D259" s="19" t="n">
        <x:v>8100</x:v>
      </x:c>
      <x:c r="E259" s="18" t="str">
        <x:v>Inferior a 240.000</x:v>
      </x:c>
      <x:c r="F259" s="18" t="str">
        <x:v>Reserva: NO cumple demanda autorizada</x:v>
      </x:c>
      <x:c r="G259" s="18" t="str">
        <x:v>Finanzas</x:v>
      </x:c>
      <x:c r="H259" s="18" t="str">
        <x:v>https://tools.usefulverse.com/tools/philippines-sss/</x:v>
      </x:c>
      <x:c r="I259" s="18" t="str">
        <x:v>Desglosar contribuciones por tramo y categoría, con parte empleador y empleado.</x:v>
      </x:c>
      <x:c r="J259" s="18" t="str">
        <x:v>No hay cotización filipina por escalas SSS.</x:v>
      </x:c>
      <x:c r="K259" s="18" t="str">
        <x:v>Tablas oficiales y categoría cubierta; no consultar datos personales.</x:v>
      </x:c>
      <x:c r="L259" s="18" t="str">
        <x:v>Cálculo/editor/juego local propuesto</x:v>
      </x:c>
      <x:c r="M259" s="18" t="str">
        <x:v>Alta: normativa y tablas por ejercicio</x:v>
      </x:c>
      <x:c r="N259" s="18" t="str">
        <x:v>Interfaz en 37 idiomas; idioma no elige país ni reglas. Jurisdicción y año visibles; fuentes oficiales del país.</x:v>
      </x:c>
      <x:c r="O259" s="18" t="str">
        <x:v>global-candidates.json</x:v>
      </x:c>
      <x:c r="P259" s="18" t="str">
        <x:v>2025-10 / 2026-09</x:v>
      </x:c>
      <x:c r="Q259" s="18" t="str">
        <x:v>L</x:v>
      </x:c>
      <x:c r="R259" s="18" t="str">
        <x:v>UV0943</x:v>
      </x:c>
      <x:c r="S259" s="18" t="str">
        <x:v>Pendiente de fuente específica antes de implementar</x:v>
      </x:c>
    </x:row>
    <x:row r="260" ht="64" customHeight="1">
      <x:c r="A260" s="18" t="n">
        <x:v>244</x:v>
      </x:c>
      <x:c r="B260" s="18" t="str">
        <x:v>Backtesting de carteras</x:v>
      </x:c>
      <x:c r="C260" s="18" t="str">
        <x:v>portfolio backtest</x:v>
      </x:c>
      <x:c r="D260" s="19" t="n">
        <x:v>8100</x:v>
      </x:c>
      <x:c r="E260" s="18" t="str">
        <x:v>Inferior a 240.000</x:v>
      </x:c>
      <x:c r="F260" s="18" t="str">
        <x:v>Reserva: NO cumple demanda autorizada</x:v>
      </x:c>
      <x:c r="G260" s="18" t="str">
        <x:v>Finanzas</x:v>
      </x:c>
      <x:c r="H260" s="18" t="str">
        <x:v>https://tools.usefulverse.com/tools/portfolio-backtester/</x:v>
      </x:c>
      <x:c r="I260" s="18" t="str">
        <x:v>Comparar una asignación con una serie histórica aportada, rebalanceos y costes.</x:v>
      </x:c>
      <x:c r="J260" s="18" t="str">
        <x:v>investment-allocation-calculator distribuye pesos; no simula trayectorias históricas.</x:v>
      </x:c>
      <x:c r="K260" s="18" t="str">
        <x:v>CSV del usuario evita licencia y coste de datos; rentabilidad pasada no es garantía.</x:v>
      </x:c>
      <x:c r="L260" s="18" t="str">
        <x:v>Cálculo/editor/juego local propuesto</x:v>
      </x:c>
      <x:c r="M260" s="18" t="str">
        <x:v>Revisar motor, recursos y dependencias</x:v>
      </x:c>
      <x:c r="N260" s="18" t="str">
        <x:v>Interfaz en 37 idiomas; idioma no elige país ni reglas. Jurisdicción y año visibles; fuentes oficiales del país.</x:v>
      </x:c>
      <x:c r="O260" s="18" t="str">
        <x:v>global-candidates.json</x:v>
      </x:c>
      <x:c r="P260" s="18" t="str">
        <x:v>2025-10 / 2026-09</x:v>
      </x:c>
      <x:c r="Q260" s="18" t="str">
        <x:v>L</x:v>
      </x:c>
      <x:c r="R260" s="18" t="str">
        <x:v>UV0944</x:v>
      </x:c>
      <x:c r="S260" s="18" t="str">
        <x:v>Pendiente de fuente específica antes de implementar</x:v>
      </x:c>
    </x:row>
    <x:row r="261" ht="64" customHeight="1">
      <x:c r="A261" s="18" t="n">
        <x:v>245</x:v>
      </x:c>
      <x:c r="B261" s="18" t="str">
        <x:v>Encuestas locales exportables</x:v>
      </x:c>
      <x:c r="C261" s="18" t="str">
        <x:v>survey maker</x:v>
      </x:c>
      <x:c r="D261" s="19" t="n">
        <x:v>8100</x:v>
      </x:c>
      <x:c r="E261" s="18" t="str">
        <x:v>Inferior a 240.000</x:v>
      </x:c>
      <x:c r="F261" s="18" t="str">
        <x:v>Reserva: NO cumple demanda autorizada</x:v>
      </x:c>
      <x:c r="G261" s="18" t="str">
        <x:v>Trabajo</x:v>
      </x:c>
      <x:c r="H261" s="18" t="str">
        <x:v>https://tools.usefulverse.com/tools/survey-builder/</x:v>
      </x:c>
      <x:c r="I261" s="18" t="str">
        <x:v>Diseñar preguntas y lógica, exportar formulario autocontenido e importar respuestas agregables.</x:v>
      </x:c>
      <x:c r="J261" s="18" t="str">
        <x:v>quiz-maker corrige preguntas de opción múltiple; no encuesta ramificada ni análisis de respuestas.</x:v>
      </x:c>
      <x:c r="K261" s="18" t="str">
        <x:v>Sin recepción central alojada; no prometer un servicio de formularios en nube.</x:v>
      </x:c>
      <x:c r="L261" s="18" t="str">
        <x:v>Cálculo/editor/juego local propuesto</x:v>
      </x:c>
      <x:c r="M261" s="18" t="str">
        <x:v>Revisar motor, recursos y dependencias</x:v>
      </x:c>
      <x:c r="N261" s="18" t="str">
        <x:v>Interfaz en 37 idiomas; idioma no elige país ni reglas. Formatos Intl, RTL y datos/lexicón de idioma con cobertura explícita.</x:v>
      </x:c>
      <x:c r="O261" s="18" t="str">
        <x:v>global-initial-screen.json</x:v>
      </x:c>
      <x:c r="P261" s="18" t="str">
        <x:v>2025-10 / 2026-09</x:v>
      </x:c>
      <x:c r="Q261" s="18" t="str">
        <x:v>M</x:v>
      </x:c>
      <x:c r="R261" s="18" t="str">
        <x:v>UV0945</x:v>
      </x:c>
      <x:c r="S261" s="18" t="str">
        <x:v>Pendiente de fuente específica antes de implementar</x:v>
      </x:c>
    </x:row>
    <x:row r="262" ht="64" customHeight="1">
      <x:c r="A262" s="18" t="n">
        <x:v>246</x:v>
      </x:c>
      <x:c r="B262" s="18" t="str">
        <x:v>Autenticador TOTP local</x:v>
      </x:c>
      <x:c r="C262" s="18" t="str">
        <x:v>totp generator</x:v>
      </x:c>
      <x:c r="D262" s="19" t="n">
        <x:v>8100</x:v>
      </x:c>
      <x:c r="E262" s="18" t="str">
        <x:v>Inferior a 240.000</x:v>
      </x:c>
      <x:c r="F262" s="18" t="str">
        <x:v>Reserva: NO cumple demanda autorizada</x:v>
      </x:c>
      <x:c r="G262" s="18" t="str">
        <x:v>Desarrollo</x:v>
      </x:c>
      <x:c r="H262" s="18" t="str">
        <x:v>https://tools.usefulverse.com/tools/totp-authenticator/</x:v>
      </x:c>
      <x:c r="I262" s="18" t="str">
        <x:v>Importar secreto propio, generar códigos TOTP y exportar copia cifrada opcional.</x:v>
      </x:c>
      <x:c r="J262" s="18" t="str">
        <x:v>password-generator genera contraseñas; no códigos de segundo factor basados en tiempo.</x:v>
      </x:c>
      <x:c r="K262" s="18" t="str">
        <x:v>WebCrypto, sin subir secretos y sin confundir con recuperación de cuentas.</x:v>
      </x:c>
      <x:c r="L262" s="18" t="str">
        <x:v>Cálculo/editor/juego local propuesto</x:v>
      </x:c>
      <x:c r="M262" s="18" t="str">
        <x:v>Revisar motor, recursos y dependencias</x:v>
      </x:c>
      <x:c r="N262" s="18" t="str">
        <x:v>Interfaz en 37 idiomas; idioma no elige país ni reglas. Formatos Intl, RTL y datos/lexicón de idioma con cobertura explícita.</x:v>
      </x:c>
      <x:c r="O262" s="18" t="str">
        <x:v>global-candidates.json</x:v>
      </x:c>
      <x:c r="P262" s="18" t="str">
        <x:v>2025-10 / 2026-09</x:v>
      </x:c>
      <x:c r="Q262" s="18" t="str">
        <x:v>M</x:v>
      </x:c>
      <x:c r="R262" s="18" t="str">
        <x:v>UV0946</x:v>
      </x:c>
      <x:c r="S262" s="18" t="str">
        <x:v>Pendiente de fuente específica antes de implementar</x:v>
      </x:c>
    </x:row>
    <x:row r="263" ht="64" customHeight="1">
      <x:c r="A263" s="18" t="n">
        <x:v>247</x:v>
      </x:c>
      <x:c r="B263" s="18" t="str">
        <x:v>Préstamos estudiantiles del Reino Unido</x:v>
      </x:c>
      <x:c r="C263" s="18" t="str">
        <x:v>student finance calculator</x:v>
      </x:c>
      <x:c r="D263" s="19" t="n">
        <x:v>8100</x:v>
      </x:c>
      <x:c r="E263" s="18" t="str">
        <x:v>Inferior a 240.000</x:v>
      </x:c>
      <x:c r="F263" s="18" t="str">
        <x:v>Reserva: NO cumple demanda autorizada</x:v>
      </x:c>
      <x:c r="G263" s="18" t="str">
        <x:v>Finanzas</x:v>
      </x:c>
      <x:c r="H263" s="18" t="str">
        <x:v>https://tools.usefulverse.com/tools/uk-student-loan/</x:v>
      </x:c>
      <x:c r="I263" s="18" t="str">
        <x:v>Calcular reembolso por plan, umbral, interés y condonación según condiciones.</x:v>
      </x:c>
      <x:c r="J263" s="18" t="str">
        <x:v>loan-calculator usa cuota amortizable; no pagos ligados a ingresos y cancelación legal.</x:v>
      </x:c>
      <x:c r="K263" s="18" t="str">
        <x:v>Planes oficiales vigentes; proyecciones no garantizadas.</x:v>
      </x:c>
      <x:c r="L263" s="18" t="str">
        <x:v>Cálculo/editor/juego local propuesto</x:v>
      </x:c>
      <x:c r="M263" s="18" t="str">
        <x:v>Alta: normativa y tablas por ejercicio</x:v>
      </x:c>
      <x:c r="N263" s="18" t="str">
        <x:v>Interfaz en 37 idiomas; idioma no elige país ni reglas. Jurisdicción y año visibles; fuentes oficiales del país.</x:v>
      </x:c>
      <x:c r="O263" s="18" t="str">
        <x:v>global-candidates.json</x:v>
      </x:c>
      <x:c r="P263" s="18" t="str">
        <x:v>2025-10 / 2026-09</x:v>
      </x:c>
      <x:c r="Q263" s="18" t="str">
        <x:v>L</x:v>
      </x:c>
      <x:c r="R263" s="18" t="str">
        <x:v>UV0947</x:v>
      </x:c>
      <x:c r="S263" s="18" t="str">
        <x:v>https://www.gov.uk/government/collections/rates-and-allowances-hm-revenue-and-customs</x:v>
      </x:c>
    </x:row>
    <x:row r="264" ht="64" customHeight="1">
      <x:c r="A264" s="18" t="n">
        <x:v>248</x:v>
      </x:c>
      <x:c r="B264" s="18" t="str">
        <x:v>Nómina de Canadá</x:v>
      </x:c>
      <x:c r="C264" s="18" t="str">
        <x:v>payroll calculator canada</x:v>
      </x:c>
      <x:c r="D264" s="19" t="n">
        <x:v>6600</x:v>
      </x:c>
      <x:c r="E264" s="18" t="str">
        <x:v>Inferior a 240.000</x:v>
      </x:c>
      <x:c r="F264" s="18" t="str">
        <x:v>Reserva: NO cumple demanda autorizada</x:v>
      </x:c>
      <x:c r="G264" s="18" t="str">
        <x:v>Finanzas</x:v>
      </x:c>
      <x:c r="H264" s="18" t="str">
        <x:v>https://tools.usefulverse.com/tools/canada-payroll/</x:v>
      </x:c>
      <x:c r="I264" s="18" t="str">
        <x:v>Estimar impuesto federal, provincial, CPP y EI con provincia y año elegidos.</x:v>
      </x:c>
      <x:c r="J264" s="18" t="str">
        <x:v>No existe nómina canadiense; conversión de salario no calcula contribuciones.</x:v>
      </x:c>
      <x:c r="K264" s="18" t="str">
        <x:v>Tablas CRA y Quebec por separado si implementado.</x:v>
      </x:c>
      <x:c r="L264" s="18" t="str">
        <x:v>Cálculo/editor/juego local propuesto</x:v>
      </x:c>
      <x:c r="M264" s="18" t="str">
        <x:v>Alta: normativa y tablas por ejercicio</x:v>
      </x:c>
      <x:c r="N264" s="18" t="str">
        <x:v>Interfaz en 37 idiomas; idioma no elige país ni reglas. Jurisdicción y año visibles; fuentes oficiales del país.</x:v>
      </x:c>
      <x:c r="O264" s="18" t="str">
        <x:v>global-candidates.json</x:v>
      </x:c>
      <x:c r="P264" s="18" t="str">
        <x:v>2025-10 / 2026-09</x:v>
      </x:c>
      <x:c r="Q264" s="18" t="str">
        <x:v>L</x:v>
      </x:c>
      <x:c r="R264" s="18" t="str">
        <x:v>UV0948</x:v>
      </x:c>
      <x:c r="S264" s="18" t="str">
        <x:v>Pendiente de fuente específica antes de implementar</x:v>
      </x:c>
    </x:row>
    <x:row r="265" ht="64" customHeight="1">
      <x:c r="A265" s="18" t="n">
        <x:v>249</x:v>
      </x:c>
      <x:c r="B265" s="18" t="str">
        <x:v>Chomp</x:v>
      </x:c>
      <x:c r="C265" s="18" t="str">
        <x:v>chocolate game</x:v>
      </x:c>
      <x:c r="D265" s="19" t="n">
        <x:v>6600</x:v>
      </x:c>
      <x:c r="E265" s="18" t="str">
        <x:v>Inferior a 240.000</x:v>
      </x:c>
      <x:c r="F265" s="18" t="str">
        <x:v>Reserva: NO cumple demanda autorizada</x:v>
      </x:c>
      <x:c r="G265" s="18" t="str">
        <x:v>Juegos</x:v>
      </x:c>
      <x:c r="H265" s="18" t="str">
        <x:v>https://tools.usefulverse.com/tools/chomp-game/</x:v>
      </x:c>
      <x:c r="I265" s="18" t="str">
        <x:v>Elegir una casilla y retirar su rectángulo evitando la casilla prohibida.</x:v>
      </x:c>
      <x:c r="J265" s="18" t="str">
        <x:v>nim-game retira de montones independientes; Chomp altera una forma bidimensional.</x:v>
      </x:c>
      <x:c r="K265" s="18" t="str">
        <x:v>Bot local y tablero accesible.</x:v>
      </x:c>
      <x:c r="L265" s="18" t="str">
        <x:v>Cálculo/editor/juego local propuesto</x:v>
      </x:c>
      <x:c r="M265" s="18" t="str">
        <x:v>Revisar motor, recursos y dependencias</x:v>
      </x:c>
      <x:c r="N265" s="18" t="str">
        <x:v>Interfaz en 37 idiomas; idioma no elige país ni reglas. Reglas y variante elegibles; ayudas claras y arte propio.</x:v>
      </x:c>
      <x:c r="O265" s="18" t="str">
        <x:v>global-candidates.json</x:v>
      </x:c>
      <x:c r="P265" s="18" t="str">
        <x:v>2025-10 / 2026-09</x:v>
      </x:c>
      <x:c r="Q265" s="18" t="str">
        <x:v>M</x:v>
      </x:c>
      <x:c r="R265" s="18" t="str">
        <x:v>UV0949</x:v>
      </x:c>
      <x:c r="S265" s="18" t="str">
        <x:v>Pendiente de fuente específica antes de implementar</x:v>
      </x:c>
    </x:row>
    <x:row r="266" ht="64" customHeight="1">
      <x:c r="A266" s="18" t="n">
        <x:v>250</x:v>
      </x:c>
      <x:c r="B266" s="18" t="str">
        <x:v>Diagramas de ganchillo</x:v>
      </x:c>
      <x:c r="C266" s="18" t="str">
        <x:v>crochet pattern generator</x:v>
      </x:c>
      <x:c r="D266" s="19" t="n">
        <x:v>6600</x:v>
      </x:c>
      <x:c r="E266" s="18" t="str">
        <x:v>Inferior a 240.000</x:v>
      </x:c>
      <x:c r="F266" s="18" t="str">
        <x:v>Reserva: NO cumple demanda autorizada</x:v>
      </x:c>
      <x:c r="G266" s="18" t="str">
        <x:v>Creatividad</x:v>
      </x:c>
      <x:c r="H266" s="18" t="str">
        <x:v>https://tools.usefulverse.com/tools/crochet-chart-maker/</x:v>
      </x:c>
      <x:c r="I266" s="18" t="str">
        <x:v>Componer símbolos de puntos y repeticiones y obtener un diagrama con leyenda.</x:v>
      </x:c>
      <x:c r="J266" s="18" t="str">
        <x:v>bead-pattern-generator asigna celdas de color; no modela puntos ni vueltas.</x:v>
      </x:c>
      <x:c r="K266" s="18" t="str">
        <x:v>Símbolos propios o con licencia y convención de términos elegible.</x:v>
      </x:c>
      <x:c r="L266" s="18" t="str">
        <x:v>Cálculo/editor/juego local propuesto</x:v>
      </x:c>
      <x:c r="M266" s="18" t="str">
        <x:v>Revisar motor, recursos y dependencias</x:v>
      </x:c>
      <x:c r="N266" s="18" t="str">
        <x:v>Interfaz en 37 idiomas; idioma no elige país ni reglas. Formatos Intl, RTL y datos/lexicón de idioma con cobertura explícita.</x:v>
      </x:c>
      <x:c r="O266" s="18" t="str">
        <x:v>global-candidates.json</x:v>
      </x:c>
      <x:c r="P266" s="18" t="str">
        <x:v>2025-10 / 2026-09</x:v>
      </x:c>
      <x:c r="Q266" s="18" t="str">
        <x:v>M</x:v>
      </x:c>
      <x:c r="R266" s="18" t="str">
        <x:v>UV0950</x:v>
      </x:c>
      <x:c r="S266" s="18" t="str">
        <x:v>Pendiente de fuente específica antes de implementar</x:v>
      </x:c>
    </x:row>
    <x:row r="267" ht="64" customHeight="1">
      <x:c r="A267" s="18" t="n">
        <x:v>251</x:v>
      </x:c>
      <x:c r="B267" s="18" t="str">
        <x:v>Control de revisiones de documentos</x:v>
      </x:c>
      <x:c r="C267" s="18" t="str">
        <x:v>document comparison</x:v>
      </x:c>
      <x:c r="D267" s="19" t="n">
        <x:v>6600</x:v>
      </x:c>
      <x:c r="E267" s="18" t="str">
        <x:v>Inferior a 240.000</x:v>
      </x:c>
      <x:c r="F267" s="18" t="str">
        <x:v>Reserva: NO cumple demanda autorizada</x:v>
      </x:c>
      <x:c r="G267" s="18" t="str">
        <x:v>Trabajo</x:v>
      </x:c>
      <x:c r="H267" s="18" t="str">
        <x:v>https://tools.usefulverse.com/tools/document-redline-merger/</x:v>
      </x:c>
      <x:c r="I267" s="18" t="str">
        <x:v>Comparar dos DOCX, revisar inserciones y eliminaciones y generar una copia con cambios marcados.</x:v>
      </x:c>
      <x:c r="J267" s="18" t="str">
        <x:v>pdf-compare compara texto por página; text-diff-checker no preserva revisiones DOCX.</x:v>
      </x:c>
      <x:c r="K267" s="18" t="str">
        <x:v>No contar formatos como herramientas nuevas sin un flujo de revisión estructurado.</x:v>
      </x:c>
      <x:c r="L267" s="18" t="str">
        <x:v>Cálculo/editor/juego local propuesto</x:v>
      </x:c>
      <x:c r="M267" s="18" t="str">
        <x:v>Revisar motor, recursos y dependencias</x:v>
      </x:c>
      <x:c r="N267" s="18" t="str">
        <x:v>Interfaz en 37 idiomas; idioma no elige país ni reglas. Formatos Intl, RTL y datos/lexicón de idioma con cobertura explícita.</x:v>
      </x:c>
      <x:c r="O267" s="18" t="str">
        <x:v>global-candidates.json</x:v>
      </x:c>
      <x:c r="P267" s="18" t="str">
        <x:v>2025-10 / 2026-09</x:v>
      </x:c>
      <x:c r="Q267" s="18" t="str">
        <x:v>M</x:v>
      </x:c>
      <x:c r="R267" s="18" t="str">
        <x:v>UV0951</x:v>
      </x:c>
      <x:c r="S267" s="18" t="str">
        <x:v>Pendiente de fuente específica antes de implementar</x:v>
      </x:c>
    </x:row>
    <x:row r="268" ht="64" customHeight="1">
      <x:c r="A268" s="18" t="n">
        <x:v>252</x:v>
      </x:c>
      <x:c r="B268" s="18" t="str">
        <x:v>Creador de libros EPUB</x:v>
      </x:c>
      <x:c r="C268" s="18" t="str">
        <x:v>ebook creator</x:v>
      </x:c>
      <x:c r="D268" s="19" t="n">
        <x:v>6600</x:v>
      </x:c>
      <x:c r="E268" s="18" t="str">
        <x:v>Inferior a 240.000</x:v>
      </x:c>
      <x:c r="F268" s="18" t="str">
        <x:v>Reserva: NO cumple demanda autorizada</x:v>
      </x:c>
      <x:c r="G268" s="18" t="str">
        <x:v>Creatividad</x:v>
      </x:c>
      <x:c r="H268" s="18" t="str">
        <x:v>https://tools.usefulverse.com/tools/ebook-creator/</x:v>
      </x:c>
      <x:c r="I268" s="18" t="str">
        <x:v>Redactar capítulos, portada e índice y exportar un EPUB accesible.</x:v>
      </x:c>
      <x:c r="J268" s="18" t="str">
        <x:v>epub-metadata-editor cambia metadatos; no crea la estructura de un libro.</x:v>
      </x:c>
      <x:c r="K268" s="18" t="str">
        <x:v>Exportación local y validación EPUB; contenido del usuario.</x:v>
      </x:c>
      <x:c r="L268" s="18" t="str">
        <x:v>Cálculo/editor/juego local propuesto</x:v>
      </x:c>
      <x:c r="M268" s="18" t="str">
        <x:v>Revisar motor, recursos y dependencias</x:v>
      </x:c>
      <x:c r="N268" s="18" t="str">
        <x:v>Interfaz en 37 idiomas; idioma no elige país ni reglas. Formatos Intl, RTL y datos/lexicón de idioma con cobertura explícita.</x:v>
      </x:c>
      <x:c r="O268" s="18" t="str">
        <x:v>global-candidates.json</x:v>
      </x:c>
      <x:c r="P268" s="18" t="str">
        <x:v>2025-10 / 2026-09</x:v>
      </x:c>
      <x:c r="Q268" s="18" t="str">
        <x:v>M</x:v>
      </x:c>
      <x:c r="R268" s="18" t="str">
        <x:v>UV0952</x:v>
      </x:c>
      <x:c r="S268" s="18" t="str">
        <x:v>Pendiente de fuente específica antes de implementar</x:v>
      </x:c>
    </x:row>
    <x:row r="269" ht="64" customHeight="1">
      <x:c r="A269" s="18" t="n">
        <x:v>253</x:v>
      </x:c>
      <x:c r="B269" s="18" t="str">
        <x:v>Cinética enzimática</x:v>
      </x:c>
      <x:c r="C269" s="18" t="str">
        <x:v>enzyme kinetics</x:v>
      </x:c>
      <x:c r="D269" s="19" t="n">
        <x:v>6600</x:v>
      </x:c>
      <x:c r="E269" s="18" t="str">
        <x:v>Inferior a 240.000</x:v>
      </x:c>
      <x:c r="F269" s="18" t="str">
        <x:v>Reserva: NO cumple demanda autorizada</x:v>
      </x:c>
      <x:c r="G269" s="18" t="str">
        <x:v>Ciencia</x:v>
      </x:c>
      <x:c r="H269" s="18" t="str">
        <x:v>https://tools.usefulverse.com/tools/enzyme-kinetics-calculator/</x:v>
      </x:c>
      <x:c r="I269" s="18" t="str">
        <x:v>Ajustar velocidades y sustratos a Michaelis–Menten con residuos y unidades.</x:v>
      </x:c>
      <x:c r="J269" s="18" t="str">
        <x:v>linear-regression-calculator no ajusta este modelo no lineal con parámetros bioquímicos.</x:v>
      </x:c>
      <x:c r="K269" s="18" t="str">
        <x:v>Ajuste local y límites del experimento claros.</x:v>
      </x:c>
      <x:c r="L269" s="18" t="str">
        <x:v>Cálculo/editor/juego local propuesto</x:v>
      </x:c>
      <x:c r="M269" s="18" t="str">
        <x:v>Revisar motor, recursos y dependencias</x:v>
      </x:c>
      <x:c r="N269" s="18" t="str">
        <x:v>Interfaz en 37 idiomas; idioma no elige país ni reglas. Formatos Intl, RTL y datos/lexicón de idioma con cobertura explícita.</x:v>
      </x:c>
      <x:c r="O269" s="18" t="str">
        <x:v>global-candidates.json</x:v>
      </x:c>
      <x:c r="P269" s="18" t="str">
        <x:v>2025-10 / 2026-09</x:v>
      </x:c>
      <x:c r="Q269" s="18" t="str">
        <x:v>M</x:v>
      </x:c>
      <x:c r="R269" s="18" t="str">
        <x:v>UV0953</x:v>
      </x:c>
      <x:c r="S269" s="18" t="str">
        <x:v>Pendiente de fuente específica antes de implementar</x:v>
      </x:c>
    </x:row>
    <x:row r="270" ht="64" customHeight="1">
      <x:c r="A270" s="18" t="n">
        <x:v>254</x:v>
      </x:c>
      <x:c r="B270" s="18" t="str">
        <x:v>Apilado de enfoque</x:v>
      </x:c>
      <x:c r="C270" s="18" t="str">
        <x:v>focus stacking</x:v>
      </x:c>
      <x:c r="D270" s="19" t="n">
        <x:v>6600</x:v>
      </x:c>
      <x:c r="E270" s="18" t="str">
        <x:v>Inferior a 240.000</x:v>
      </x:c>
      <x:c r="F270" s="18" t="str">
        <x:v>Reserva: NO cumple demanda autorizada</x:v>
      </x:c>
      <x:c r="G270" s="18" t="str">
        <x:v>Creatividad</x:v>
      </x:c>
      <x:c r="H270" s="18" t="str">
        <x:v>https://tools.usefulverse.com/tools/focus-stacker/</x:v>
      </x:c>
      <x:c r="I270" s="18" t="str">
        <x:v>Alinear una serie y combinar zonas enfocadas en una sola imagen.</x:v>
      </x:c>
      <x:c r="J270" s="18" t="str">
        <x:v>image-sharpener procesa una imagen; no combina profundidades de una serie.</x:v>
      </x:c>
      <x:c r="K270" s="18" t="str">
        <x:v>Registro local y máscara de confianza visible.</x:v>
      </x:c>
      <x:c r="L270" s="18" t="str">
        <x:v>Cálculo/editor/juego local propuesto</x:v>
      </x:c>
      <x:c r="M270" s="18" t="str">
        <x:v>Revisar motor, recursos y dependencias</x:v>
      </x:c>
      <x:c r="N270" s="18" t="str">
        <x:v>Interfaz en 37 idiomas; idioma no elige país ni reglas. Formatos Intl, RTL y datos/lexicón de idioma con cobertura explícita.</x:v>
      </x:c>
      <x:c r="O270" s="18" t="str">
        <x:v>global-candidates.json</x:v>
      </x:c>
      <x:c r="P270" s="18" t="str">
        <x:v>2025-10 / 2026-09</x:v>
      </x:c>
      <x:c r="Q270" s="18" t="str">
        <x:v>M</x:v>
      </x:c>
      <x:c r="R270" s="18" t="str">
        <x:v>UV0954</x:v>
      </x:c>
      <x:c r="S270" s="18" t="str">
        <x:v>Pendiente de fuente específica antes de implementar</x:v>
      </x:c>
    </x:row>
    <x:row r="271" ht="64" customHeight="1">
      <x:c r="A271" s="18" t="n">
        <x:v>255</x:v>
      </x:c>
      <x:c r="B271" s="18" t="str">
        <x:v>Reconocimiento de escritura manuscrita</x:v>
      </x:c>
      <x:c r="C271" s="18" t="str">
        <x:v>chinese handwriting input</x:v>
      </x:c>
      <x:c r="D271" s="19" t="n">
        <x:v>6600</x:v>
      </x:c>
      <x:c r="E271" s="18" t="str">
        <x:v>Inferior a 240.000</x:v>
      </x:c>
      <x:c r="F271" s="18" t="str">
        <x:v>Reserva: NO cumple demanda autorizada</x:v>
      </x:c>
      <x:c r="G271" s="18" t="str">
        <x:v>Idiomas</x:v>
      </x:c>
      <x:c r="H271" s="18" t="str">
        <x:v>https://tools.usefulverse.com/tools/handwriting-input/</x:v>
      </x:c>
      <x:c r="I271" s="18" t="str">
        <x:v>Dibujar caracteres y elegir candidatos para introducir texto.</x:v>
      </x:c>
      <x:c r="J271" s="18" t="str">
        <x:v>image-to-text procesa imágenes completas; aquí la entrada son trazos ordenados.</x:v>
      </x:c>
      <x:c r="K271" s="18" t="str">
        <x:v>Modelos locales y licencia; precisión declarada por escritura.</x:v>
      </x:c>
      <x:c r="L271" s="18" t="str">
        <x:v>Modelo local: licencia y rendimiento pendientes</x:v>
      </x:c>
      <x:c r="M271" s="18" t="str">
        <x:v>Revisar motor, recursos y dependencias</x:v>
      </x:c>
      <x:c r="N271" s="18" t="str">
        <x:v>Interfaz en 37 idiomas; idioma no elige país ni reglas. Formatos Intl, RTL y datos/lexicón de idioma con cobertura explícita.</x:v>
      </x:c>
      <x:c r="O271" s="18" t="str">
        <x:v>global-candidates.json</x:v>
      </x:c>
      <x:c r="P271" s="18" t="str">
        <x:v>2025-10 / 2026-09</x:v>
      </x:c>
      <x:c r="Q271" s="18" t="str">
        <x:v>L</x:v>
      </x:c>
      <x:c r="R271" s="18" t="str">
        <x:v>UV0955</x:v>
      </x:c>
      <x:c r="S271" s="18" t="str">
        <x:v>https://github.com/huggingface/transformers.js</x:v>
      </x:c>
    </x:row>
    <x:row r="272" ht="64" customHeight="1">
      <x:c r="A272" s="18" t="n">
        <x:v>256</x:v>
      </x:c>
      <x:c r="B272" s="18" t="str">
        <x:v>Diseñador de cajas para corte láser</x:v>
      </x:c>
      <x:c r="C272" s="18" t="str">
        <x:v>box generator</x:v>
      </x:c>
      <x:c r="D272" s="19" t="n">
        <x:v>6600</x:v>
      </x:c>
      <x:c r="E272" s="18" t="str">
        <x:v>Inferior a 240.000</x:v>
      </x:c>
      <x:c r="F272" s="18" t="str">
        <x:v>Reserva: NO cumple demanda autorizada</x:v>
      </x:c>
      <x:c r="G272" s="18" t="str">
        <x:v>Creatividad</x:v>
      </x:c>
      <x:c r="H272" s="18" t="str">
        <x:v>https://tools.usefulverse.com/tools/laser-box-designer/</x:v>
      </x:c>
      <x:c r="I272" s="18" t="str">
        <x:v>Generar paneles SVG con uniones de dedos, espesor y compensación de corte.</x:v>
      </x:c>
      <x:c r="J272" s="18" t="str">
        <x:v>lumber-cut-calculator optimiza longitudes; no crea uniones y contornos de fabricación.</x:v>
      </x:c>
      <x:c r="K272" s="18" t="str">
        <x:v>Geometría local, advertencias de tolerancia y pruebas de encaje.</x:v>
      </x:c>
      <x:c r="L272" s="18" t="str">
        <x:v>Cálculo/editor/juego local propuesto</x:v>
      </x:c>
      <x:c r="M272" s="18" t="str">
        <x:v>Revisar motor, recursos y dependencias</x:v>
      </x:c>
      <x:c r="N272" s="18" t="str">
        <x:v>Interfaz en 37 idiomas; idioma no elige país ni reglas. Formatos Intl, RTL y datos/lexicón de idioma con cobertura explícita.</x:v>
      </x:c>
      <x:c r="O272" s="18" t="str">
        <x:v>global-candidates.json</x:v>
      </x:c>
      <x:c r="P272" s="18" t="str">
        <x:v>2025-10 / 2026-09</x:v>
      </x:c>
      <x:c r="Q272" s="18" t="str">
        <x:v>M</x:v>
      </x:c>
      <x:c r="R272" s="18" t="str">
        <x:v>UV0956</x:v>
      </x:c>
      <x:c r="S272" s="18" t="str">
        <x:v>Pendiente de fuente específica antes de implementar</x:v>
      </x:c>
    </x:row>
    <x:row r="273" ht="64" customHeight="1">
      <x:c r="A273" s="18" t="n">
        <x:v>257</x:v>
      </x:c>
      <x:c r="B273" s="18" t="str">
        <x:v>Retrospectivas de equipo</x:v>
      </x:c>
      <x:c r="C273" s="18" t="str">
        <x:v>sprint retrospective</x:v>
      </x:c>
      <x:c r="D273" s="19" t="n">
        <x:v>6600</x:v>
      </x:c>
      <x:c r="E273" s="18" t="str">
        <x:v>Inferior a 240.000</x:v>
      </x:c>
      <x:c r="F273" s="18" t="str">
        <x:v>Reserva: NO cumple demanda autorizada</x:v>
      </x:c>
      <x:c r="G273" s="18" t="str">
        <x:v>Trabajo</x:v>
      </x:c>
      <x:c r="H273" s="18" t="str">
        <x:v>https://tools.usefulverse.com/tools/meeting-retrospective/</x:v>
      </x:c>
      <x:c r="I273" s="18" t="str">
        <x:v>Organizar observaciones, agrupar temas, votar localmente y convertir acuerdos en acciones.</x:v>
      </x:c>
      <x:c r="J273" s="18" t="str">
        <x:v>kanban-board mueve tareas; no administra votación y síntesis de retrospectiva.</x:v>
      </x:c>
      <x:c r="K273" s="18" t="str">
        <x:v>Modo presencial o archivo compartido manual; sin colaboración remota prometida.</x:v>
      </x:c>
      <x:c r="L273" s="18" t="str">
        <x:v>Cálculo/editor/juego local propuesto</x:v>
      </x:c>
      <x:c r="M273" s="18" t="str">
        <x:v>Revisar motor, recursos y dependencias</x:v>
      </x:c>
      <x:c r="N273" s="18" t="str">
        <x:v>Interfaz en 37 idiomas; idioma no elige país ni reglas. Formatos Intl, RTL y datos/lexicón de idioma con cobertura explícita.</x:v>
      </x:c>
      <x:c r="O273" s="18" t="str">
        <x:v>global-candidates.json</x:v>
      </x:c>
      <x:c r="P273" s="18" t="str">
        <x:v>2025-10 / 2026-09</x:v>
      </x:c>
      <x:c r="Q273" s="18" t="str">
        <x:v>M</x:v>
      </x:c>
      <x:c r="R273" s="18" t="str">
        <x:v>UV0957</x:v>
      </x:c>
      <x:c r="S273" s="18" t="str">
        <x:v>Pendiente de fuente específica antes de implementar</x:v>
      </x:c>
    </x:row>
    <x:row r="274" ht="64" customHeight="1">
      <x:c r="A274" s="18" t="n">
        <x:v>258</x:v>
      </x:c>
      <x:c r="B274" s="18" t="str">
        <x:v>Mus</x:v>
      </x:c>
      <x:c r="C274" s="18" t="str">
        <x:v>mus online</x:v>
      </x:c>
      <x:c r="D274" s="19" t="n">
        <x:v>6600</x:v>
      </x:c>
      <x:c r="E274" s="18" t="str">
        <x:v>Inferior a 240.000</x:v>
      </x:c>
      <x:c r="F274" s="18" t="str">
        <x:v>Reserva: NO cumple demanda autorizada</x:v>
      </x:c>
      <x:c r="G274" s="18" t="str">
        <x:v>Juegos</x:v>
      </x:c>
      <x:c r="H274" s="18" t="str">
        <x:v>https://tools.usefulverse.com/tools/mus/</x:v>
      </x:c>
      <x:c r="I274" s="18" t="str">
        <x:v>Jugar descartes y lances de grande, chica, pares y juego con bots.</x:v>
      </x:c>
      <x:c r="J274" s="18" t="str">
        <x:v>president-card-game se basa en descarte; no implementa señas ni lances de Mus.</x:v>
      </x:c>
      <x:c r="K274" s="18" t="str">
        <x:v>Reglas y puntuación de variante explícitas, bots sin fingir comunicación humana.</x:v>
      </x:c>
      <x:c r="L274" s="18" t="str">
        <x:v>Cálculo/editor/juego local propuesto</x:v>
      </x:c>
      <x:c r="M274" s="18" t="str">
        <x:v>Revisar motor, recursos y dependencias</x:v>
      </x:c>
      <x:c r="N274" s="18" t="str">
        <x:v>Interfaz en 37 idiomas; idioma no elige país ni reglas. Reglas y variante elegibles; ayudas claras y arte propio.</x:v>
      </x:c>
      <x:c r="O274" s="18" t="str">
        <x:v>global-candidates.json</x:v>
      </x:c>
      <x:c r="P274" s="18" t="str">
        <x:v>2025-10 / 2026-09</x:v>
      </x:c>
      <x:c r="Q274" s="18" t="str">
        <x:v>M</x:v>
      </x:c>
      <x:c r="R274" s="18" t="str">
        <x:v>UV0958</x:v>
      </x:c>
      <x:c r="S274" s="18" t="str">
        <x:v>Pendiente de fuente específica antes de implementar</x:v>
      </x:c>
    </x:row>
    <x:row r="275" ht="64" customHeight="1">
      <x:c r="A275" s="18" t="n">
        <x:v>259</x:v>
      </x:c>
      <x:c r="B275" s="18" t="str">
        <x:v>Nim</x:v>
      </x:c>
      <x:c r="C275" s="18" t="str">
        <x:v>nim game</x:v>
      </x:c>
      <x:c r="D275" s="19" t="n">
        <x:v>6600</x:v>
      </x:c>
      <x:c r="E275" s="18" t="str">
        <x:v>Inferior a 240.000</x:v>
      </x:c>
      <x:c r="F275" s="18" t="str">
        <x:v>Reserva: NO cumple demanda autorizada</x:v>
      </x:c>
      <x:c r="G275" s="18" t="str">
        <x:v>Juegos</x:v>
      </x:c>
      <x:c r="H275" s="18" t="str">
        <x:v>https://tools.usefulverse.com/tools/nim-game/</x:v>
      </x:c>
      <x:c r="I275" s="18" t="str">
        <x:v>Retirar objetos de montones y practicar estrategias normal o misère.</x:v>
      </x:c>
      <x:c r="J275" s="18" t="str">
        <x:v>dots-and-boxes usa captura de casillas, no álgebra de montones.</x:v>
      </x:c>
      <x:c r="K275" s="18" t="str">
        <x:v>Explicaciones locales y variantes claramente etiquetadas.</x:v>
      </x:c>
      <x:c r="L275" s="18" t="str">
        <x:v>Cálculo/editor/juego local propuesto</x:v>
      </x:c>
      <x:c r="M275" s="18" t="str">
        <x:v>Revisar motor, recursos y dependencias</x:v>
      </x:c>
      <x:c r="N275" s="18" t="str">
        <x:v>Interfaz en 37 idiomas; idioma no elige país ni reglas. Reglas y variante elegibles; ayudas claras y arte propio.</x:v>
      </x:c>
      <x:c r="O275" s="18" t="str">
        <x:v>global-candidates.json</x:v>
      </x:c>
      <x:c r="P275" s="18" t="str">
        <x:v>2025-10 / 2026-09</x:v>
      </x:c>
      <x:c r="Q275" s="18" t="str">
        <x:v>M</x:v>
      </x:c>
      <x:c r="R275" s="18" t="str">
        <x:v>UV0959</x:v>
      </x:c>
      <x:c r="S275" s="18" t="str">
        <x:v>Pendiente de fuente específica antes de implementar</x:v>
      </x:c>
    </x:row>
    <x:row r="276" ht="64" customHeight="1">
      <x:c r="A276" s="18" t="n">
        <x:v>260</x:v>
      </x:c>
      <x:c r="B276" s="18" t="str">
        <x:v>Diseñador de placas PCB</x:v>
      </x:c>
      <x:c r="C276" s="18" t="str">
        <x:v>pcb layout</x:v>
      </x:c>
      <x:c r="D276" s="19" t="n">
        <x:v>6600</x:v>
      </x:c>
      <x:c r="E276" s="18" t="str">
        <x:v>Inferior a 240.000</x:v>
      </x:c>
      <x:c r="F276" s="18" t="str">
        <x:v>Reserva: NO cumple demanda autorizada</x:v>
      </x:c>
      <x:c r="G276" s="18" t="str">
        <x:v>Desarrollo</x:v>
      </x:c>
      <x:c r="H276" s="18" t="str">
        <x:v>https://tools.usefulverse.com/tools/pcb-layout-editor/</x:v>
      </x:c>
      <x:c r="I276" s="18" t="str">
        <x:v>Colocar huellas, enrutar pistas y exportar Gerber y taladros.</x:v>
      </x:c>
      <x:c r="J276" s="18" t="str">
        <x:v>circuit-diagram-editor calcula redes; PCB transforma conexiones en fabricación física.</x:v>
      </x:c>
      <x:c r="K276" s="18" t="str">
        <x:v>Huellas abiertas, reglas eléctricas y exportaciones verificables.</x:v>
      </x:c>
      <x:c r="L276" s="18" t="str">
        <x:v>Cálculo/editor/juego local propuesto</x:v>
      </x:c>
      <x:c r="M276" s="18" t="str">
        <x:v>Revisar motor, recursos y dependencias</x:v>
      </x:c>
      <x:c r="N276" s="18" t="str">
        <x:v>Interfaz en 37 idiomas; idioma no elige país ni reglas. Formatos Intl, RTL y datos/lexicón de idioma con cobertura explícita.</x:v>
      </x:c>
      <x:c r="O276" s="18" t="str">
        <x:v>global-candidates.json</x:v>
      </x:c>
      <x:c r="P276" s="18" t="str">
        <x:v>2025-10 / 2026-09</x:v>
      </x:c>
      <x:c r="Q276" s="18" t="str">
        <x:v>M</x:v>
      </x:c>
      <x:c r="R276" s="18" t="str">
        <x:v>UV0960</x:v>
      </x:c>
      <x:c r="S276" s="18" t="str">
        <x:v>Pendiente de fuente específica antes de implementar</x:v>
      </x:c>
    </x:row>
    <x:row r="277" ht="64" customHeight="1">
      <x:c r="A277" s="18" t="n">
        <x:v>261</x:v>
      </x:c>
      <x:c r="B277" s="18" t="str">
        <x:v>Editor de mecanismos químicos</x:v>
      </x:c>
      <x:c r="C277" s="18" t="str">
        <x:v>reaction mechanism</x:v>
      </x:c>
      <x:c r="D277" s="19" t="n">
        <x:v>6600</x:v>
      </x:c>
      <x:c r="E277" s="18" t="str">
        <x:v>Inferior a 240.000</x:v>
      </x:c>
      <x:c r="F277" s="18" t="str">
        <x:v>Reserva: NO cumple demanda autorizada</x:v>
      </x:c>
      <x:c r="G277" s="18" t="str">
        <x:v>Ciencia</x:v>
      </x:c>
      <x:c r="H277" s="18" t="str">
        <x:v>https://tools.usefulverse.com/tools/reaction-mechanism-editor/</x:v>
      </x:c>
      <x:c r="I277" s="18" t="str">
        <x:v>Dibujar pasos, cargas y flechas de electrones para un mecanismo aportado.</x:v>
      </x:c>
      <x:c r="J277" s="18" t="str">
        <x:v>chemical-equation-balancer conserva átomos; no representa electrones ni mecanismos.</x:v>
      </x:c>
      <x:c r="K277" s="18" t="str">
        <x:v>Editor local; no prometer predecir reacciones con una simple regla.</x:v>
      </x:c>
      <x:c r="L277" s="18" t="str">
        <x:v>Cálculo/editor/juego local propuesto</x:v>
      </x:c>
      <x:c r="M277" s="18" t="str">
        <x:v>Revisar motor, recursos y dependencias</x:v>
      </x:c>
      <x:c r="N277" s="18" t="str">
        <x:v>Interfaz en 37 idiomas; idioma no elige país ni reglas. Formatos Intl, RTL y datos/lexicón de idioma con cobertura explícita.</x:v>
      </x:c>
      <x:c r="O277" s="18" t="str">
        <x:v>global-candidates.json</x:v>
      </x:c>
      <x:c r="P277" s="18" t="str">
        <x:v>2025-10 / 2026-09</x:v>
      </x:c>
      <x:c r="Q277" s="18" t="str">
        <x:v>M</x:v>
      </x:c>
      <x:c r="R277" s="18" t="str">
        <x:v>UV0961</x:v>
      </x:c>
      <x:c r="S277" s="18" t="str">
        <x:v>Pendiente de fuente específica antes de implementar</x:v>
      </x:c>
    </x:row>
    <x:row r="278" ht="64" customHeight="1">
      <x:c r="A278" s="18" t="n">
        <x:v>262</x:v>
      </x:c>
      <x:c r="B278" s="18" t="str">
        <x:v>Pronóstico de series temporales</x:v>
      </x:c>
      <x:c r="C278" s="18" t="str">
        <x:v>time series forecasting</x:v>
      </x:c>
      <x:c r="D278" s="19" t="n">
        <x:v>6600</x:v>
      </x:c>
      <x:c r="E278" s="18" t="str">
        <x:v>Inferior a 240.000</x:v>
      </x:c>
      <x:c r="F278" s="18" t="str">
        <x:v>Reserva: NO cumple demanda autorizada</x:v>
      </x:c>
      <x:c r="G278" s="18" t="str">
        <x:v>Ciencia</x:v>
      </x:c>
      <x:c r="H278" s="18" t="str">
        <x:v>https://tools.usefulverse.com/tools/time-series-forecast/</x:v>
      </x:c>
      <x:c r="I278" s="18" t="str">
        <x:v>Ajustar modelos básicos, comparar error de backtesting y exportar proyecciones con bandas.</x:v>
      </x:c>
      <x:c r="J278" s="18" t="str">
        <x:v>linear-regression-calculator ajusta pares sin estructura temporal ni validación secuencial.</x:v>
      </x:c>
      <x:c r="K278" s="18" t="str">
        <x:v>Motor local, incertidumbre visible y sin promesa de rendimiento financiero.</x:v>
      </x:c>
      <x:c r="L278" s="18" t="str">
        <x:v>Cálculo/editor/juego local propuesto</x:v>
      </x:c>
      <x:c r="M278" s="18" t="str">
        <x:v>Revisar motor, recursos y dependencias</x:v>
      </x:c>
      <x:c r="N278" s="18" t="str">
        <x:v>Interfaz en 37 idiomas; idioma no elige país ni reglas. Formatos Intl, RTL y datos/lexicón de idioma con cobertura explícita.</x:v>
      </x:c>
      <x:c r="O278" s="18" t="str">
        <x:v>global-candidates.json</x:v>
      </x:c>
      <x:c r="P278" s="18" t="str">
        <x:v>2025-10 / 2026-09</x:v>
      </x:c>
      <x:c r="Q278" s="18" t="str">
        <x:v>M</x:v>
      </x:c>
      <x:c r="R278" s="18" t="str">
        <x:v>UV0962</x:v>
      </x:c>
      <x:c r="S278" s="18" t="str">
        <x:v>Pendiente de fuente específica antes de implementar</x:v>
      </x:c>
    </x:row>
    <x:row r="279" ht="64" customHeight="1">
      <x:c r="A279" s="18" t="n">
        <x:v>263</x:v>
      </x:c>
      <x:c r="B279" s="18" t="str">
        <x:v>Conversor de esquemas SQL</x:v>
      </x:c>
      <x:c r="C279" s="18" t="str">
        <x:v>sql converter</x:v>
      </x:c>
      <x:c r="D279" s="19" t="n">
        <x:v>5400</x:v>
      </x:c>
      <x:c r="E279" s="18" t="str">
        <x:v>Inferior a 240.000</x:v>
      </x:c>
      <x:c r="F279" s="18" t="str">
        <x:v>Reserva: NO cumple demanda autorizada</x:v>
      </x:c>
      <x:c r="G279" s="18" t="str">
        <x:v>Desarrollo</x:v>
      </x:c>
      <x:c r="H279" s="18" t="str">
        <x:v>https://tools.usefulverse.com/tools/database-migration-converter/</x:v>
      </x:c>
      <x:c r="I279" s="18" t="str">
        <x:v>Convertir DDL entre dialectos y señalar diferencias no convertibles.</x:v>
      </x:c>
      <x:c r="J279" s="18" t="str">
        <x:v>sql-formatter cambia presentación; no traduce tipos ni restricciones entre motores.</x:v>
      </x:c>
      <x:c r="K279" s="18" t="str">
        <x:v>Conversión estática; nunca conectar a producción ni prometer equivalencia total.</x:v>
      </x:c>
      <x:c r="L279" s="18" t="str">
        <x:v>Cálculo/editor/juego local propuesto</x:v>
      </x:c>
      <x:c r="M279" s="18" t="str">
        <x:v>Revisar motor, recursos y dependencias</x:v>
      </x:c>
      <x:c r="N279" s="18" t="str">
        <x:v>Interfaz en 37 idiomas; idioma no elige país ni reglas. Formatos Intl, RTL y datos/lexicón de idioma con cobertura explícita.</x:v>
      </x:c>
      <x:c r="O279" s="18" t="str">
        <x:v>global-candidates.json</x:v>
      </x:c>
      <x:c r="P279" s="18" t="str">
        <x:v>2025-10 / 2026-09</x:v>
      </x:c>
      <x:c r="Q279" s="18" t="str">
        <x:v>M</x:v>
      </x:c>
      <x:c r="R279" s="18" t="str">
        <x:v>UV0963</x:v>
      </x:c>
      <x:c r="S279" s="18" t="str">
        <x:v>Pendiente de fuente específica antes de implementar</x:v>
      </x:c>
    </x:row>
    <x:row r="280" ht="64" customHeight="1">
      <x:c r="A280" s="18" t="n">
        <x:v>264</x:v>
      </x:c>
      <x:c r="B280" s="18" t="str">
        <x:v>Fanorona</x:v>
      </x:c>
      <x:c r="C280" s="18" t="str">
        <x:v>fanorona</x:v>
      </x:c>
      <x:c r="D280" s="19" t="n">
        <x:v>5400</x:v>
      </x:c>
      <x:c r="E280" s="18" t="str">
        <x:v>Inferior a 240.000</x:v>
      </x:c>
      <x:c r="F280" s="18" t="str">
        <x:v>Reserva: NO cumple demanda autorizada</x:v>
      </x:c>
      <x:c r="G280" s="18" t="str">
        <x:v>Juegos</x:v>
      </x:c>
      <x:c r="H280" s="18" t="str">
        <x:v>https://tools.usefulverse.com/tools/fanorona/</x:v>
      </x:c>
      <x:c r="I280" s="18" t="str">
        <x:v>Capturar por aproximación o retirada y encadenar movimientos legales.</x:v>
      </x:c>
      <x:c r="J280" s="18" t="str">
        <x:v>checkers solo captura por salto; aquí cambia la mecánica de captura.</x:v>
      </x:c>
      <x:c r="K280" s="18" t="str">
        <x:v>Tablero tradicional y bot local.</x:v>
      </x:c>
      <x:c r="L280" s="18" t="str">
        <x:v>Cálculo/editor/juego local propuesto</x:v>
      </x:c>
      <x:c r="M280" s="18" t="str">
        <x:v>Revisar motor, recursos y dependencias</x:v>
      </x:c>
      <x:c r="N280" s="18" t="str">
        <x:v>Interfaz en 37 idiomas; idioma no elige país ni reglas. Reglas y variante elegibles; ayudas claras y arte propio.</x:v>
      </x:c>
      <x:c r="O280" s="18" t="str">
        <x:v>global-candidates.json</x:v>
      </x:c>
      <x:c r="P280" s="18" t="str">
        <x:v>2025-10 / 2026-09</x:v>
      </x:c>
      <x:c r="Q280" s="18" t="str">
        <x:v>M</x:v>
      </x:c>
      <x:c r="R280" s="18" t="str">
        <x:v>UV0964</x:v>
      </x:c>
      <x:c r="S280" s="18" t="str">
        <x:v>Pendiente de fuente específica antes de implementar</x:v>
      </x:c>
    </x:row>
    <x:row r="281" ht="64" customHeight="1">
      <x:c r="A281" s="18" t="n">
        <x:v>265</x:v>
      </x:c>
      <x:c r="B281" s="18" t="str">
        <x:v>Margen y riesgo de futuros</x:v>
      </x:c>
      <x:c r="C281" s="18" t="str">
        <x:v>futures calculator</x:v>
      </x:c>
      <x:c r="D281" s="19" t="n">
        <x:v>5400</x:v>
      </x:c>
      <x:c r="E281" s="18" t="str">
        <x:v>Inferior a 240.000</x:v>
      </x:c>
      <x:c r="F281" s="18" t="str">
        <x:v>Reserva: NO cumple demanda autorizada</x:v>
      </x:c>
      <x:c r="G281" s="18" t="str">
        <x:v>Finanzas</x:v>
      </x:c>
      <x:c r="H281" s="18" t="str">
        <x:v>https://tools.usefulverse.com/tools/futures-position-calculator/</x:v>
      </x:c>
      <x:c r="I281" s="18" t="str">
        <x:v>Calcular PnL por tamaño de tick, contratos, margen y escenarios de liquidación aportados.</x:v>
      </x:c>
      <x:c r="J281" s="18" t="str">
        <x:v>forex-position-size-calculator usa pips de divisas; no especificaciones de futuros.</x:v>
      </x:c>
      <x:c r="K281" s="18" t="str">
        <x:v>Datos contractuales aportados o fuente abierta; no precios ni asesoría en directo.</x:v>
      </x:c>
      <x:c r="L281" s="18" t="str">
        <x:v>Cálculo/editor/juego local propuesto</x:v>
      </x:c>
      <x:c r="M281" s="18" t="str">
        <x:v>Revisar motor, recursos y dependencias</x:v>
      </x:c>
      <x:c r="N281" s="18" t="str">
        <x:v>Interfaz en 37 idiomas; idioma no elige país ni reglas. Jurisdicción y año visibles; fuentes oficiales del país.</x:v>
      </x:c>
      <x:c r="O281" s="18" t="str">
        <x:v>global-candidates.json</x:v>
      </x:c>
      <x:c r="P281" s="18" t="str">
        <x:v>2025-10 / 2026-09</x:v>
      </x:c>
      <x:c r="Q281" s="18" t="str">
        <x:v>L</x:v>
      </x:c>
      <x:c r="R281" s="18" t="str">
        <x:v>UV0965</x:v>
      </x:c>
      <x:c r="S281" s="18" t="str">
        <x:v>Pendiente de fuente específica antes de implementar</x:v>
      </x:c>
    </x:row>
    <x:row r="282" ht="64" customHeight="1">
      <x:c r="A282" s="18" t="n">
        <x:v>266</x:v>
      </x:c>
      <x:c r="B282" s="18" t="str">
        <x:v>PPh 21 de Indonesia</x:v>
      </x:c>
      <x:c r="C282" s="18" t="str">
        <x:v>kalkulator pph 21</x:v>
      </x:c>
      <x:c r="D282" s="19" t="n">
        <x:v>5400</x:v>
      </x:c>
      <x:c r="E282" s="18" t="str">
        <x:v>Inferior a 240.000</x:v>
      </x:c>
      <x:c r="F282" s="18" t="str">
        <x:v>Reserva: NO cumple demanda autorizada</x:v>
      </x:c>
      <x:c r="G282" s="18" t="str">
        <x:v>Finanzas</x:v>
      </x:c>
      <x:c r="H282" s="18" t="str">
        <x:v>https://tools.usefulverse.com/tools/indonesia-pph21/</x:v>
      </x:c>
      <x:c r="I282" s="18" t="str">
        <x:v>Calcular retención con categoría, tasas efectivas y reconciliación anual soportada.</x:v>
      </x:c>
      <x:c r="J282" s="18" t="str">
        <x:v>tax-calculator no implementa categorías TER y reglas anuales.</x:v>
      </x:c>
      <x:c r="K282" s="18" t="str">
        <x:v>Fuentes fiscales oficiales y actualización de tasas.</x:v>
      </x:c>
      <x:c r="L282" s="18" t="str">
        <x:v>Cálculo/editor/juego local propuesto</x:v>
      </x:c>
      <x:c r="M282" s="18" t="str">
        <x:v>Alta: normativa y tablas por ejercicio</x:v>
      </x:c>
      <x:c r="N282" s="18" t="str">
        <x:v>Interfaz en 37 idiomas; idioma no elige país ni reglas. Jurisdicción y año visibles; fuentes oficiales del país.</x:v>
      </x:c>
      <x:c r="O282" s="18" t="str">
        <x:v>global-candidates.json</x:v>
      </x:c>
      <x:c r="P282" s="18" t="str">
        <x:v>2025-10 / 2026-09</x:v>
      </x:c>
      <x:c r="Q282" s="18" t="str">
        <x:v>L</x:v>
      </x:c>
      <x:c r="R282" s="18" t="str">
        <x:v>UV0966</x:v>
      </x:c>
      <x:c r="S282" s="18" t="str">
        <x:v>Pendiente de fuente específica antes de implementar</x:v>
      </x:c>
    </x:row>
    <x:row r="283" ht="64" customHeight="1">
      <x:c r="A283" s="18" t="n">
        <x:v>267</x:v>
      </x:c>
      <x:c r="B283" s="18" t="str">
        <x:v>Estrategias con varias opciones</x:v>
      </x:c>
      <x:c r="C283" s="18" t="str">
        <x:v>option strategy builder</x:v>
      </x:c>
      <x:c r="D283" s="19" t="n">
        <x:v>5400</x:v>
      </x:c>
      <x:c r="E283" s="18" t="str">
        <x:v>Inferior a 240.000</x:v>
      </x:c>
      <x:c r="F283" s="18" t="str">
        <x:v>Reserva: NO cumple demanda autorizada</x:v>
      </x:c>
      <x:c r="G283" s="18" t="str">
        <x:v>Finanzas</x:v>
      </x:c>
      <x:c r="H283" s="18" t="str">
        <x:v>https://tools.usefulverse.com/tools/option-strategy-builder/</x:v>
      </x:c>
      <x:c r="I283" s="18" t="str">
        <x:v>Combinar varias patas y visualizar pago, puntos de equilibrio y riesgo a vencimiento.</x:v>
      </x:c>
      <x:c r="J283" s="18" t="str">
        <x:v>options-profit-calculator calcula una sola call o put, no estrategias multipata.</x:v>
      </x:c>
      <x:c r="K283" s="18" t="str">
        <x:v>Sin precios de mercado; entradas del usuario y riesgo no acotado identificado.</x:v>
      </x:c>
      <x:c r="L283" s="18" t="str">
        <x:v>Cálculo/editor/juego local propuesto</x:v>
      </x:c>
      <x:c r="M283" s="18" t="str">
        <x:v>Revisar motor, recursos y dependencias</x:v>
      </x:c>
      <x:c r="N283" s="18" t="str">
        <x:v>Interfaz en 37 idiomas; idioma no elige país ni reglas. Jurisdicción y año visibles; fuentes oficiales del país.</x:v>
      </x:c>
      <x:c r="O283" s="18" t="str">
        <x:v>global-candidates.json</x:v>
      </x:c>
      <x:c r="P283" s="18" t="str">
        <x:v>2025-10 / 2026-09</x:v>
      </x:c>
      <x:c r="Q283" s="18" t="str">
        <x:v>L</x:v>
      </x:c>
      <x:c r="R283" s="18" t="str">
        <x:v>UV0967</x:v>
      </x:c>
      <x:c r="S283" s="18" t="str">
        <x:v>Pendiente de fuente específica antes de implementar</x:v>
      </x:c>
    </x:row>
    <x:row r="284" ht="64" customHeight="1">
      <x:c r="A284" s="18" t="n">
        <x:v>268</x:v>
      </x:c>
      <x:c r="B284" s="18" t="str">
        <x:v>Entrenador de ritmo</x:v>
      </x:c>
      <x:c r="C284" s="18" t="str">
        <x:v>rhythm trainer</x:v>
      </x:c>
      <x:c r="D284" s="19" t="n">
        <x:v>5400</x:v>
      </x:c>
      <x:c r="E284" s="18" t="str">
        <x:v>Inferior a 240.000</x:v>
      </x:c>
      <x:c r="F284" s="18" t="str">
        <x:v>Reserva: NO cumple demanda autorizada</x:v>
      </x:c>
      <x:c r="G284" s="18" t="str">
        <x:v>Música</x:v>
      </x:c>
      <x:c r="H284" s="18" t="str">
        <x:v>https://tools.usefulverse.com/tools/rhythm-trainer/</x:v>
      </x:c>
      <x:c r="I284" s="18" t="str">
        <x:v>Escuchar y reproducir patrones con medición de desfase y dificultad progresiva.</x:v>
      </x:c>
      <x:c r="J284" s="18" t="str">
        <x:v>ear-training evalúa intervalos; typing-speed-test no mide ritmo musical.</x:v>
      </x:c>
      <x:c r="K284" s="18" t="str">
        <x:v>Motor local y calibración de latencia opcional.</x:v>
      </x:c>
      <x:c r="L284" s="18" t="str">
        <x:v>Cálculo/editor/juego local propuesto</x:v>
      </x:c>
      <x:c r="M284" s="18" t="str">
        <x:v>Revisar motor, recursos y dependencias</x:v>
      </x:c>
      <x:c r="N284" s="18" t="str">
        <x:v>Interfaz en 37 idiomas; idioma no elige país ni reglas. Formatos Intl, RTL y datos/lexicón de idioma con cobertura explícita.</x:v>
      </x:c>
      <x:c r="O284" s="18" t="str">
        <x:v>global-candidates.json</x:v>
      </x:c>
      <x:c r="P284" s="18" t="str">
        <x:v>2025-10 / 2026-09</x:v>
      </x:c>
      <x:c r="Q284" s="18" t="str">
        <x:v>M</x:v>
      </x:c>
      <x:c r="R284" s="18" t="str">
        <x:v>UV0968</x:v>
      </x:c>
      <x:c r="S284" s="18" t="str">
        <x:v>Pendiente de fuente específica antes de implementar</x:v>
      </x:c>
    </x:row>
    <x:row r="285" ht="64" customHeight="1">
      <x:c r="A285" s="18" t="n">
        <x:v>269</x:v>
      </x:c>
      <x:c r="B285" s="18" t="str">
        <x:v>Alineamiento de secuencias</x:v>
      </x:c>
      <x:c r="C285" s="18" t="str">
        <x:v>sequence alignment</x:v>
      </x:c>
      <x:c r="D285" s="19" t="n">
        <x:v>5400</x:v>
      </x:c>
      <x:c r="E285" s="18" t="str">
        <x:v>Inferior a 240.000</x:v>
      </x:c>
      <x:c r="F285" s="18" t="str">
        <x:v>Reserva: NO cumple demanda autorizada</x:v>
      </x:c>
      <x:c r="G285" s="18" t="str">
        <x:v>Ciencia</x:v>
      </x:c>
      <x:c r="H285" s="18" t="str">
        <x:v>https://tools.usefulverse.com/tools/sequence-alignment/</x:v>
      </x:c>
      <x:c r="I285" s="18" t="str">
        <x:v>Alinear dos secuencias con penalizaciones y mostrar coincidencias y gaps.</x:v>
      </x:c>
      <x:c r="J285" s="18" t="str">
        <x:v>text-diff-checker compara líneas; no optimiza alineamiento biológico.</x:v>
      </x:c>
      <x:c r="K285" s="18" t="str">
        <x:v>Algoritmos locales y límites de longitud; no consulta de bases clínicas.</x:v>
      </x:c>
      <x:c r="L285" s="18" t="str">
        <x:v>Cálculo/editor/juego local propuesto</x:v>
      </x:c>
      <x:c r="M285" s="18" t="str">
        <x:v>Revisar motor, recursos y dependencias</x:v>
      </x:c>
      <x:c r="N285" s="18" t="str">
        <x:v>Interfaz en 37 idiomas; idioma no elige país ni reglas. Formatos Intl, RTL y datos/lexicón de idioma con cobertura explícita.</x:v>
      </x:c>
      <x:c r="O285" s="18" t="str">
        <x:v>global-candidates.json</x:v>
      </x:c>
      <x:c r="P285" s="18" t="str">
        <x:v>2025-10 / 2026-09</x:v>
      </x:c>
      <x:c r="Q285" s="18" t="str">
        <x:v>M</x:v>
      </x:c>
      <x:c r="R285" s="18" t="str">
        <x:v>UV0969</x:v>
      </x:c>
      <x:c r="S285" s="18" t="str">
        <x:v>Pendiente de fuente específica antes de implementar</x:v>
      </x:c>
    </x:row>
    <x:row r="286" ht="64" customHeight="1">
      <x:c r="A286" s="18" t="n">
        <x:v>270</x:v>
      </x:c>
      <x:c r="B286" s="18" t="str">
        <x:v>Guion gráfico</x:v>
      </x:c>
      <x:c r="C286" s="18" t="str">
        <x:v>storyboard maker</x:v>
      </x:c>
      <x:c r="D286" s="19" t="n">
        <x:v>5400</x:v>
      </x:c>
      <x:c r="E286" s="18" t="str">
        <x:v>Inferior a 240.000</x:v>
      </x:c>
      <x:c r="F286" s="18" t="str">
        <x:v>Reserva: NO cumple demanda autorizada</x:v>
      </x:c>
      <x:c r="G286" s="18" t="str">
        <x:v>Creatividad</x:v>
      </x:c>
      <x:c r="H286" s="18" t="str">
        <x:v>https://tools.usefulverse.com/tools/storyboard-maker/</x:v>
      </x:c>
      <x:c r="I286" s="18" t="str">
        <x:v>Planificar escenas con encuadres, duración y notas de cámara, exportando una hoja de rodaje.</x:v>
      </x:c>
      <x:c r="J286" s="18" t="str">
        <x:v>comic-maker produce historietas; este flujo vincula escenas, tiempos y producción.</x:v>
      </x:c>
      <x:c r="K286" s="18" t="str">
        <x:v>Plantillas originales y formatos de papel configurables.</x:v>
      </x:c>
      <x:c r="L286" s="18" t="str">
        <x:v>Cálculo/editor/juego local propuesto</x:v>
      </x:c>
      <x:c r="M286" s="18" t="str">
        <x:v>Revisar motor, recursos y dependencias</x:v>
      </x:c>
      <x:c r="N286" s="18" t="str">
        <x:v>Interfaz en 37 idiomas; idioma no elige país ni reglas. Formatos Intl, RTL y datos/lexicón de idioma con cobertura explícita.</x:v>
      </x:c>
      <x:c r="O286" s="18" t="str">
        <x:v>global-candidates.json</x:v>
      </x:c>
      <x:c r="P286" s="18" t="str">
        <x:v>2025-10 / 2026-09</x:v>
      </x:c>
      <x:c r="Q286" s="18" t="str">
        <x:v>M</x:v>
      </x:c>
      <x:c r="R286" s="18" t="str">
        <x:v>UV0970</x:v>
      </x:c>
      <x:c r="S286" s="18" t="str">
        <x:v>Pendiente de fuente específica antes de implementar</x:v>
      </x:c>
    </x:row>
    <x:row r="287" ht="64" customHeight="1">
      <x:c r="A287" s="18" t="n">
        <x:v>271</x:v>
      </x:c>
      <x:c r="B287" s="18" t="str">
        <x:v>Impuesto individual de China</x:v>
      </x:c>
      <x:c r="C287" s="18" t="str">
        <x:v>个税计算器</x:v>
      </x:c>
      <x:c r="D287" s="19" t="n">
        <x:v>4400</x:v>
      </x:c>
      <x:c r="E287" s="18" t="str">
        <x:v>Inferior a 240.000</x:v>
      </x:c>
      <x:c r="F287" s="18" t="str">
        <x:v>Reserva: NO cumple demanda autorizada</x:v>
      </x:c>
      <x:c r="G287" s="18" t="str">
        <x:v>Finanzas</x:v>
      </x:c>
      <x:c r="H287" s="18" t="str">
        <x:v>https://tools.usefulverse.com/tools/china-individual-income-tax/</x:v>
      </x:c>
      <x:c r="I287" s="18" t="str">
        <x:v>Comparar retención acumulada y liquidación con deducciones soportadas.</x:v>
      </x:c>
      <x:c r="J287" s="18" t="str">
        <x:v>No existe modelo de retención acumulativa de China.</x:v>
      </x:c>
      <x:c r="K287" s="18" t="str">
        <x:v>Fuentes oficiales, año y residencia fiscal explícitos.</x:v>
      </x:c>
      <x:c r="L287" s="18" t="str">
        <x:v>Cálculo/editor/juego local propuesto</x:v>
      </x:c>
      <x:c r="M287" s="18" t="str">
        <x:v>Alta: normativa y tablas por ejercicio</x:v>
      </x:c>
      <x:c r="N287" s="18" t="str">
        <x:v>Interfaz en 37 idiomas; idioma no elige país ni reglas. Jurisdicción y año visibles; fuentes oficiales del país.</x:v>
      </x:c>
      <x:c r="O287" s="18" t="str">
        <x:v>discovery-multilingual-asia.json</x:v>
      </x:c>
      <x:c r="P287" s="18" t="str">
        <x:v>2025-10 / 2026-09</x:v>
      </x:c>
      <x:c r="Q287" s="18" t="str">
        <x:v>L</x:v>
      </x:c>
      <x:c r="R287" s="18" t="str">
        <x:v>UV0971</x:v>
      </x:c>
      <x:c r="S287" s="18" t="str">
        <x:v>Pendiente de fuente específica antes de implementar</x:v>
      </x:c>
    </x:row>
    <x:row r="288" ht="64" customHeight="1">
      <x:c r="A288" s="18" t="n">
        <x:v>272</x:v>
      </x:c>
      <x:c r="B288" s="18" t="str">
        <x:v>Simulador de sistemas de control</x:v>
      </x:c>
      <x:c r="C288" s="18" t="str">
        <x:v>pid tuning</x:v>
      </x:c>
      <x:c r="D288" s="19" t="n">
        <x:v>4400</x:v>
      </x:c>
      <x:c r="E288" s="18" t="str">
        <x:v>Inferior a 240.000</x:v>
      </x:c>
      <x:c r="F288" s="18" t="str">
        <x:v>Reserva: NO cumple demanda autorizada</x:v>
      </x:c>
      <x:c r="G288" s="18" t="str">
        <x:v>Ciencia</x:v>
      </x:c>
      <x:c r="H288" s="18" t="str">
        <x:v>https://tools.usefulverse.com/tools/control-system-simulator/</x:v>
      </x:c>
      <x:c r="I288" s="18" t="str">
        <x:v>Simular una función de transferencia, comparar PID y respuesta al escalón.</x:v>
      </x:c>
      <x:c r="J288" s="18" t="str">
        <x:v>rlc-circuit-calculator calcula un circuito; no lazo de control arbitrario.</x:v>
      </x:c>
      <x:c r="K288" s="18" t="str">
        <x:v>Modelo lineal local; no controlar equipos físicos automáticamente.</x:v>
      </x:c>
      <x:c r="L288" s="18" t="str">
        <x:v>Cálculo/editor/juego local propuesto</x:v>
      </x:c>
      <x:c r="M288" s="18" t="str">
        <x:v>Revisar motor, recursos y dependencias</x:v>
      </x:c>
      <x:c r="N288" s="18" t="str">
        <x:v>Interfaz en 37 idiomas; idioma no elige país ni reglas. Formatos Intl, RTL y datos/lexicón de idioma con cobertura explícita.</x:v>
      </x:c>
      <x:c r="O288" s="18" t="str">
        <x:v>global-candidates.json</x:v>
      </x:c>
      <x:c r="P288" s="18" t="str">
        <x:v>2025-10 / 2026-09</x:v>
      </x:c>
      <x:c r="Q288" s="18" t="str">
        <x:v>M</x:v>
      </x:c>
      <x:c r="R288" s="18" t="str">
        <x:v>UV0972</x:v>
      </x:c>
      <x:c r="S288" s="18" t="str">
        <x:v>Pendiente de fuente específica antes de implementar</x:v>
      </x:c>
    </x:row>
    <x:row r="289" ht="64" customHeight="1">
      <x:c r="A289" s="18" t="n">
        <x:v>273</x:v>
      </x:c>
      <x:c r="B289" s="18" t="str">
        <x:v>Verificador de firmas digitales</x:v>
      </x:c>
      <x:c r="C289" s="18" t="str">
        <x:v>verify digital signature</x:v>
      </x:c>
      <x:c r="D289" s="19" t="n">
        <x:v>4400</x:v>
      </x:c>
      <x:c r="E289" s="18" t="str">
        <x:v>Inferior a 240.000</x:v>
      </x:c>
      <x:c r="F289" s="18" t="str">
        <x:v>Reserva: NO cumple demanda autorizada</x:v>
      </x:c>
      <x:c r="G289" s="18" t="str">
        <x:v>Desarrollo</x:v>
      </x:c>
      <x:c r="H289" s="18" t="str">
        <x:v>https://tools.usefulverse.com/tools/digital-signature-verifier/</x:v>
      </x:c>
      <x:c r="I289" s="18" t="str">
        <x:v>Comprobar una firma criptográfica con mensaje, algoritmo y clave pública aportados.</x:v>
      </x:c>
      <x:c r="J289" s="18" t="str">
        <x:v>jwt-decoder no verifica; file-checksum solo compara huellas.</x:v>
      </x:c>
      <x:c r="K289" s="18" t="str">
        <x:v>WebCrypto y formatos soportados; validez criptográfica no prueba identidad legal.</x:v>
      </x:c>
      <x:c r="L289" s="18" t="str">
        <x:v>Cálculo/editor/juego local propuesto</x:v>
      </x:c>
      <x:c r="M289" s="18" t="str">
        <x:v>Revisar motor, recursos y dependencias</x:v>
      </x:c>
      <x:c r="N289" s="18" t="str">
        <x:v>Interfaz en 37 idiomas; idioma no elige país ni reglas. Formatos Intl, RTL y datos/lexicón de idioma con cobertura explícita.</x:v>
      </x:c>
      <x:c r="O289" s="18" t="str">
        <x:v>global-candidates.json</x:v>
      </x:c>
      <x:c r="P289" s="18" t="str">
        <x:v>2025-10 / 2026-09</x:v>
      </x:c>
      <x:c r="Q289" s="18" t="str">
        <x:v>M</x:v>
      </x:c>
      <x:c r="R289" s="18" t="str">
        <x:v>UV0973</x:v>
      </x:c>
      <x:c r="S289" s="18" t="str">
        <x:v>Pendiente de fuente específica antes de implementar</x:v>
      </x:c>
    </x:row>
    <x:row r="290" ht="64" customHeight="1">
      <x:c r="A290" s="18" t="n">
        <x:v>274</x:v>
      </x:c>
      <x:c r="B290" s="18" t="str">
        <x:v>Digitalizador de bordados</x:v>
      </x:c>
      <x:c r="C290" s="18" t="str">
        <x:v>embroidery digitizing</x:v>
      </x:c>
      <x:c r="D290" s="19" t="n">
        <x:v>4400</x:v>
      </x:c>
      <x:c r="E290" s="18" t="str">
        <x:v>Inferior a 240.000</x:v>
      </x:c>
      <x:c r="F290" s="18" t="str">
        <x:v>Reserva: NO cumple demanda autorizada</x:v>
      </x:c>
      <x:c r="G290" s="18" t="str">
        <x:v>Creatividad</x:v>
      </x:c>
      <x:c r="H290" s="18" t="str">
        <x:v>https://tools.usefulverse.com/tools/embroidery-digitizer/</x:v>
      </x:c>
      <x:c r="I290" s="18" t="str">
        <x:v>Transformar formas en trayectorias de puntada con densidad y orden, y exportar formato de máquina.</x:v>
      </x:c>
      <x:c r="J290" s="18" t="str">
        <x:v>bead-pattern-generator produce una cuadrícula, no comandos de bordadora.</x:v>
      </x:c>
      <x:c r="K290" s="18" t="str">
        <x:v>Motor local y comprobación de unidades, saltos y formatos.</x:v>
      </x:c>
      <x:c r="L290" s="18" t="str">
        <x:v>Cálculo/editor/juego local propuesto</x:v>
      </x:c>
      <x:c r="M290" s="18" t="str">
        <x:v>Revisar motor, recursos y dependencias</x:v>
      </x:c>
      <x:c r="N290" s="18" t="str">
        <x:v>Interfaz en 37 idiomas; idioma no elige país ni reglas. Formatos Intl, RTL y datos/lexicón de idioma con cobertura explícita.</x:v>
      </x:c>
      <x:c r="O290" s="18" t="str">
        <x:v>global-candidates.json</x:v>
      </x:c>
      <x:c r="P290" s="18" t="str">
        <x:v>2025-10 / 2026-09</x:v>
      </x:c>
      <x:c r="Q290" s="18" t="str">
        <x:v>M</x:v>
      </x:c>
      <x:c r="R290" s="18" t="str">
        <x:v>UV0974</x:v>
      </x:c>
      <x:c r="S290" s="18" t="str">
        <x:v>Pendiente de fuente específica antes de implementar</x:v>
      </x:c>
    </x:row>
    <x:row r="291" ht="64" customHeight="1">
      <x:c r="A291" s="18" t="n">
        <x:v>275</x:v>
      </x:c>
      <x:c r="B291" s="18" t="str">
        <x:v>Apagar luces</x:v>
      </x:c>
      <x:c r="C291" s="18" t="str">
        <x:v>lights out game</x:v>
      </x:c>
      <x:c r="D291" s="19" t="n">
        <x:v>4400</x:v>
      </x:c>
      <x:c r="E291" s="18" t="str">
        <x:v>Inferior a 240.000</x:v>
      </x:c>
      <x:c r="F291" s="18" t="str">
        <x:v>Reserva: NO cumple demanda autorizada</x:v>
      </x:c>
      <x:c r="G291" s="18" t="str">
        <x:v>Juegos</x:v>
      </x:c>
      <x:c r="H291" s="18" t="str">
        <x:v>https://tools.usefulverse.com/tools/lights-out/</x:v>
      </x:c>
      <x:c r="I291" s="18" t="str">
        <x:v>Cambiar una casilla y vecinas para apagar un tablero, con pistas y solución.</x:v>
      </x:c>
      <x:c r="J291" s="18" t="str">
        <x:v>binary-puzzle usa reglas de filas y columnas, no transformaciones de interruptores.</x:v>
      </x:c>
      <x:c r="K291" s="18" t="str">
        <x:v>Generador de estados alcanzables y algoritmo local.</x:v>
      </x:c>
      <x:c r="L291" s="18" t="str">
        <x:v>Cálculo/editor/juego local propuesto</x:v>
      </x:c>
      <x:c r="M291" s="18" t="str">
        <x:v>Revisar motor, recursos y dependencias</x:v>
      </x:c>
      <x:c r="N291" s="18" t="str">
        <x:v>Interfaz en 37 idiomas; idioma no elige país ni reglas. Reglas y variante elegibles; ayudas claras y arte propio.</x:v>
      </x:c>
      <x:c r="O291" s="18" t="str">
        <x:v>global-initial-screen.json</x:v>
      </x:c>
      <x:c r="P291" s="18" t="str">
        <x:v>2025-10 / 2026-09</x:v>
      </x:c>
      <x:c r="Q291" s="18" t="str">
        <x:v>M</x:v>
      </x:c>
      <x:c r="R291" s="18" t="str">
        <x:v>UV0975</x:v>
      </x:c>
      <x:c r="S291" s="18" t="str">
        <x:v>Pendiente de fuente específica antes de implementar</x:v>
      </x:c>
    </x:row>
    <x:row r="292" ht="64" customHeight="1">
      <x:c r="A292" s="18" t="n">
        <x:v>276</x:v>
      </x:c>
      <x:c r="B292" s="18" t="str">
        <x:v>Masyu</x:v>
      </x:c>
      <x:c r="C292" s="18" t="str">
        <x:v>masyu</x:v>
      </x:c>
      <x:c r="D292" s="19" t="n">
        <x:v>4400</x:v>
      </x:c>
      <x:c r="E292" s="18" t="str">
        <x:v>Inferior a 240.000</x:v>
      </x:c>
      <x:c r="F292" s="18" t="str">
        <x:v>Reserva: NO cumple demanda autorizada</x:v>
      </x:c>
      <x:c r="G292" s="18" t="str">
        <x:v>Juegos</x:v>
      </x:c>
      <x:c r="H292" s="18" t="str">
        <x:v>https://tools.usefulverse.com/tools/masyu-puzzle/</x:v>
      </x:c>
      <x:c r="I292" s="18" t="str">
        <x:v>Trazar un bucle con reglas diferentes para círculos blancos y negros.</x:v>
      </x:c>
      <x:c r="J292" s="18" t="str">
        <x:v>slitherlink usa conteo de bordes; Masyu impone giros y segmentos.</x:v>
      </x:c>
      <x:c r="K292" s="18" t="str">
        <x:v>Generación original y pistas accesibles sin depender solo del color.</x:v>
      </x:c>
      <x:c r="L292" s="18" t="str">
        <x:v>Cálculo/editor/juego local propuesto</x:v>
      </x:c>
      <x:c r="M292" s="18" t="str">
        <x:v>Revisar motor, recursos y dependencias</x:v>
      </x:c>
      <x:c r="N292" s="18" t="str">
        <x:v>Interfaz en 37 idiomas; idioma no elige país ni reglas. Reglas y variante elegibles; ayudas claras y arte propio.</x:v>
      </x:c>
      <x:c r="O292" s="18" t="str">
        <x:v>global-candidates.json</x:v>
      </x:c>
      <x:c r="P292" s="18" t="str">
        <x:v>2025-10 / 2026-09</x:v>
      </x:c>
      <x:c r="Q292" s="18" t="str">
        <x:v>M</x:v>
      </x:c>
      <x:c r="R292" s="18" t="str">
        <x:v>UV0976</x:v>
      </x:c>
      <x:c r="S292" s="18" t="str">
        <x:v>Pendiente de fuente específica antes de implementar</x:v>
      </x:c>
    </x:row>
    <x:row r="293" ht="64" customHeight="1">
      <x:c r="A293" s="18" t="n">
        <x:v>277</x:v>
      </x:c>
      <x:c r="B293" s="18" t="str">
        <x:v>Planificador de medicación prescrita</x:v>
      </x:c>
      <x:c r="C293" s="18" t="str">
        <x:v>medication reminder</x:v>
      </x:c>
      <x:c r="D293" s="19" t="n">
        <x:v>4400</x:v>
      </x:c>
      <x:c r="E293" s="18" t="str">
        <x:v>Inferior a 240.000</x:v>
      </x:c>
      <x:c r="F293" s="18" t="str">
        <x:v>Reserva: NO cumple demanda autorizada</x:v>
      </x:c>
      <x:c r="G293" s="18" t="str">
        <x:v>Bienestar</x:v>
      </x:c>
      <x:c r="H293" s="18" t="str">
        <x:v>https://tools.usefulverse.com/tools/medication-schedule/</x:v>
      </x:c>
      <x:c r="I293" s="18" t="str">
        <x:v>Organizar pautas aportadas, registrar tomas y exportar calendario y lista.</x:v>
      </x:c>
      <x:c r="J293" s="18" t="str">
        <x:v>alarm-clock no gestiona pautas, intervalos ni historial de tomas.</x:v>
      </x:c>
      <x:c r="K293" s="18" t="str">
        <x:v>No modificar dosis; avisos de navegador no garantizados en segundo plano.</x:v>
      </x:c>
      <x:c r="L293" s="18" t="str">
        <x:v>Cálculo/editor/juego local propuesto</x:v>
      </x:c>
      <x:c r="M293" s="18" t="str">
        <x:v>Revisar motor, recursos y dependencias</x:v>
      </x:c>
      <x:c r="N293" s="18" t="str">
        <x:v>Interfaz en 37 idiomas; idioma no elige país ni reglas. Formatos Intl, RTL y datos/lexicón de idioma con cobertura explícita.</x:v>
      </x:c>
      <x:c r="O293" s="18" t="str">
        <x:v>global-candidates.json</x:v>
      </x:c>
      <x:c r="P293" s="18" t="str">
        <x:v>2025-10 / 2026-09</x:v>
      </x:c>
      <x:c r="Q293" s="18" t="str">
        <x:v>L</x:v>
      </x:c>
      <x:c r="R293" s="18" t="str">
        <x:v>UV0977</x:v>
      </x:c>
      <x:c r="S293" s="18" t="str">
        <x:v>Pendiente de fuente específica antes de implementar</x:v>
      </x:c>
    </x:row>
    <x:row r="294" ht="64" customHeight="1">
      <x:c r="A294" s="18" t="n">
        <x:v>278</x:v>
      </x:c>
      <x:c r="B294" s="18" t="str">
        <x:v>Transpositor de partituras</x:v>
      </x:c>
      <x:c r="C294" s="18" t="str">
        <x:v>transpose music</x:v>
      </x:c>
      <x:c r="D294" s="19" t="n">
        <x:v>4400</x:v>
      </x:c>
      <x:c r="E294" s="18" t="str">
        <x:v>Inferior a 240.000</x:v>
      </x:c>
      <x:c r="F294" s="18" t="str">
        <x:v>Reserva: NO cumple demanda autorizada</x:v>
      </x:c>
      <x:c r="G294" s="18" t="str">
        <x:v>Música</x:v>
      </x:c>
      <x:c r="H294" s="18" t="str">
        <x:v>https://tools.usefulverse.com/tools/music-transposition/</x:v>
      </x:c>
      <x:c r="I294" s="18" t="str">
        <x:v>Transponer MusicXML respetando armaduras, instrumentos transpositores y enarmonía.</x:v>
      </x:c>
      <x:c r="J294" s="18" t="str">
        <x:v>voice-changer cambia señal de audio; no reescribe notación musical.</x:v>
      </x:c>
      <x:c r="K294" s="18" t="str">
        <x:v>Motor local y derechos del documento; no convertir formatos como motivo único de URL.</x:v>
      </x:c>
      <x:c r="L294" s="18" t="str">
        <x:v>Cálculo/editor/juego local propuesto</x:v>
      </x:c>
      <x:c r="M294" s="18" t="str">
        <x:v>Revisar motor, recursos y dependencias</x:v>
      </x:c>
      <x:c r="N294" s="18" t="str">
        <x:v>Interfaz en 37 idiomas; idioma no elige país ni reglas. Formatos Intl, RTL y datos/lexicón de idioma con cobertura explícita.</x:v>
      </x:c>
      <x:c r="O294" s="18" t="str">
        <x:v>global-candidates.json</x:v>
      </x:c>
      <x:c r="P294" s="18" t="str">
        <x:v>2025-10 / 2026-09</x:v>
      </x:c>
      <x:c r="Q294" s="18" t="str">
        <x:v>M</x:v>
      </x:c>
      <x:c r="R294" s="18" t="str">
        <x:v>UV0978</x:v>
      </x:c>
      <x:c r="S294" s="18" t="str">
        <x:v>Pendiente de fuente específica antes de implementar</x:v>
      </x:c>
    </x:row>
    <x:row r="295" ht="64" customHeight="1">
      <x:c r="A295" s="18" t="n">
        <x:v>279</x:v>
      </x:c>
      <x:c r="B295" s="18" t="str">
        <x:v>Lectura óptica de partituras</x:v>
      </x:c>
      <x:c r="C295" s="18" t="str">
        <x:v>sheet music scanner</x:v>
      </x:c>
      <x:c r="D295" s="19" t="n">
        <x:v>4400</x:v>
      </x:c>
      <x:c r="E295" s="18" t="str">
        <x:v>Inferior a 240.000</x:v>
      </x:c>
      <x:c r="F295" s="18" t="str">
        <x:v>Reserva: NO cumple demanda autorizada</x:v>
      </x:c>
      <x:c r="G295" s="18" t="str">
        <x:v>Música</x:v>
      </x:c>
      <x:c r="H295" s="18" t="str">
        <x:v>https://tools.usefulverse.com/tools/sheet-music-scanner/</x:v>
      </x:c>
      <x:c r="I295" s="18" t="str">
        <x:v>Reconocer notación de una imagen, corregir símbolos y exportar MusicXML.</x:v>
      </x:c>
      <x:c r="J295" s="18" t="str">
        <x:v>image-to-text no reconoce estructura musical; music-score-editor crea una melodía manualmente.</x:v>
      </x:c>
      <x:c r="K295" s="18" t="str">
        <x:v>Modelo local comercialmente permitido y revisión manual obligatoria de errores.</x:v>
      </x:c>
      <x:c r="L295" s="18" t="str">
        <x:v>Modelo local: licencia y rendimiento pendientes</x:v>
      </x:c>
      <x:c r="M295" s="18" t="str">
        <x:v>Revisar motor, recursos y dependencias</x:v>
      </x:c>
      <x:c r="N295" s="18" t="str">
        <x:v>Interfaz en 37 idiomas; idioma no elige país ni reglas. Formatos Intl, RTL y datos/lexicón de idioma con cobertura explícita.</x:v>
      </x:c>
      <x:c r="O295" s="18" t="str">
        <x:v>global-candidates.json</x:v>
      </x:c>
      <x:c r="P295" s="18" t="str">
        <x:v>2025-10 / 2026-09</x:v>
      </x:c>
      <x:c r="Q295" s="18" t="str">
        <x:v>L</x:v>
      </x:c>
      <x:c r="R295" s="18" t="str">
        <x:v>UV0979</x:v>
      </x:c>
      <x:c r="S295" s="18" t="str">
        <x:v>https://github.com/huggingface/transformers.js</x:v>
      </x:c>
    </x:row>
    <x:row r="296" ht="64" customHeight="1">
      <x:c r="A296" s="18" t="n">
        <x:v>280</x:v>
      </x:c>
      <x:c r="B296" s="18" t="str">
        <x:v>Panadero y masa madre</x:v>
      </x:c>
      <x:c r="C296" s="18" t="str">
        <x:v>sourdough calculator</x:v>
      </x:c>
      <x:c r="D296" s="19" t="n">
        <x:v>4400</x:v>
      </x:c>
      <x:c r="E296" s="18" t="str">
        <x:v>Inferior a 240.000</x:v>
      </x:c>
      <x:c r="F296" s="18" t="str">
        <x:v>Reserva: NO cumple demanda autorizada</x:v>
      </x:c>
      <x:c r="G296" s="18" t="str">
        <x:v>Vida</x:v>
      </x:c>
      <x:c r="H296" s="18" t="str">
        <x:v>https://tools.usefulverse.com/tools/sourdough-calculator/</x:v>
      </x:c>
      <x:c r="I296" s="18" t="str">
        <x:v>Calcular porcentajes panaderos, hidratación y prefermento con harinas y agua desglosadas.</x:v>
      </x:c>
      <x:c r="J296" s="18" t="str">
        <x:v>recipe-scaler aplica un factor; no resuelve hidratación ni alimentación de cultivo.</x:v>
      </x:c>
      <x:c r="K296" s="18" t="str">
        <x:v>Fórmulas locales y sin prometer tiempos biológicos exactos.</x:v>
      </x:c>
      <x:c r="L296" s="18" t="str">
        <x:v>Cálculo/editor/juego local propuesto</x:v>
      </x:c>
      <x:c r="M296" s="18" t="str">
        <x:v>Revisar motor, recursos y dependencias</x:v>
      </x:c>
      <x:c r="N296" s="18" t="str">
        <x:v>Interfaz en 37 idiomas; idioma no elige país ni reglas. Formatos Intl, RTL y datos/lexicón de idioma con cobertura explícita.</x:v>
      </x:c>
      <x:c r="O296" s="18" t="str">
        <x:v>global-candidates.json</x:v>
      </x:c>
      <x:c r="P296" s="18" t="str">
        <x:v>2025-10 / 2026-09</x:v>
      </x:c>
      <x:c r="Q296" s="18" t="str">
        <x:v>M</x:v>
      </x:c>
      <x:c r="R296" s="18" t="str">
        <x:v>UV0980</x:v>
      </x:c>
      <x:c r="S296" s="18" t="str">
        <x:v>Pendiente de fuente específica antes de implementar</x:v>
      </x:c>
    </x:row>
    <x:row r="297" ht="64" customHeight="1">
      <x:c r="A297" s="18" t="n">
        <x:v>281</x:v>
      </x:c>
      <x:c r="B297" s="18" t="str">
        <x:v>Comparador de hojas de cálculo</x:v>
      </x:c>
      <x:c r="C297" s="18" t="str">
        <x:v>spreadsheet compare</x:v>
      </x:c>
      <x:c r="D297" s="19" t="n">
        <x:v>4400</x:v>
      </x:c>
      <x:c r="E297" s="18" t="str">
        <x:v>Inferior a 240.000</x:v>
      </x:c>
      <x:c r="F297" s="18" t="str">
        <x:v>Reserva: NO cumple demanda autorizada</x:v>
      </x:c>
      <x:c r="G297" s="18" t="str">
        <x:v>Trabajo</x:v>
      </x:c>
      <x:c r="H297" s="18" t="str">
        <x:v>https://tools.usefulverse.com/tools/spreadsheet-diff/</x:v>
      </x:c>
      <x:c r="I297" s="18" t="str">
        <x:v>Comparar celdas, fórmulas y hojas por claves y exportar un informe de cambios.</x:v>
      </x:c>
      <x:c r="J297" s="18" t="str">
        <x:v>text-diff-checker compara líneas; no estructura y fórmulas de un libro.</x:v>
      </x:c>
      <x:c r="K297" s="18" t="str">
        <x:v>Un solo comparador para XLSX/CSV si el flujo coincide; formato no crea otra herramienta.</x:v>
      </x:c>
      <x:c r="L297" s="18" t="str">
        <x:v>Cálculo/editor/juego local propuesto</x:v>
      </x:c>
      <x:c r="M297" s="18" t="str">
        <x:v>Revisar motor, recursos y dependencias</x:v>
      </x:c>
      <x:c r="N297" s="18" t="str">
        <x:v>Interfaz en 37 idiomas; idioma no elige país ni reglas. Formatos Intl, RTL y datos/lexicón de idioma con cobertura explícita.</x:v>
      </x:c>
      <x:c r="O297" s="18" t="str">
        <x:v>global-candidates.json</x:v>
      </x:c>
      <x:c r="P297" s="18" t="str">
        <x:v>2025-10 / 2026-09</x:v>
      </x:c>
      <x:c r="Q297" s="18" t="str">
        <x:v>M</x:v>
      </x:c>
      <x:c r="R297" s="18" t="str">
        <x:v>UV0981</x:v>
      </x:c>
      <x:c r="S297" s="18" t="str">
        <x:v>Pendiente de fuente específica antes de implementar</x:v>
      </x:c>
    </x:row>
    <x:row r="298" ht="64" customHeight="1">
      <x:c r="A298" s="18" t="n">
        <x:v>282</x:v>
      </x:c>
      <x:c r="B298" s="18" t="str">
        <x:v>Nombre a estructura química</x:v>
      </x:c>
      <x:c r="C298" s="18" t="str">
        <x:v>smiles to structure</x:v>
      </x:c>
      <x:c r="D298" s="19" t="n">
        <x:v>3600</x:v>
      </x:c>
      <x:c r="E298" s="18" t="str">
        <x:v>Inferior a 240.000</x:v>
      </x:c>
      <x:c r="F298" s="18" t="str">
        <x:v>Reserva: NO cumple demanda autorizada</x:v>
      </x:c>
      <x:c r="G298" s="18" t="str">
        <x:v>Ciencia</x:v>
      </x:c>
      <x:c r="H298" s="18" t="str">
        <x:v>https://tools.usefulverse.com/tools/chemical-name-resolver/</x:v>
      </x:c>
      <x:c r="I298" s="18" t="str">
        <x:v>Interpretar nombres o SMILES y comparar una estructura con identificadores documentados.</x:v>
      </x:c>
      <x:c r="J298" s="18" t="str">
        <x:v>molar-mass-calculator calcula masa desde una fórmula; no resuelve nomenclatura estructural.</x:v>
      </x:c>
      <x:c r="K298" s="18" t="str">
        <x:v>Cobertura IUPAC delimitada y corpus abierto; no asumir API gratuita ilimitada.</x:v>
      </x:c>
      <x:c r="L298" s="18" t="str">
        <x:v>Cálculo/editor/juego local propuesto</x:v>
      </x:c>
      <x:c r="M298" s="18" t="str">
        <x:v>Revisar motor, recursos y dependencias</x:v>
      </x:c>
      <x:c r="N298" s="18" t="str">
        <x:v>Interfaz en 37 idiomas; idioma no elige país ni reglas. Formatos Intl, RTL y datos/lexicón de idioma con cobertura explícita.</x:v>
      </x:c>
      <x:c r="O298" s="18" t="str">
        <x:v>global-candidates.json</x:v>
      </x:c>
      <x:c r="P298" s="18" t="str">
        <x:v>2025-10 / 2026-09</x:v>
      </x:c>
      <x:c r="Q298" s="18" t="str">
        <x:v>M</x:v>
      </x:c>
      <x:c r="R298" s="18" t="str">
        <x:v>UV0982</x:v>
      </x:c>
      <x:c r="S298" s="18" t="str">
        <x:v>Pendiente de fuente específica antes de implementar</x:v>
      </x:c>
    </x:row>
    <x:row r="299" ht="64" customHeight="1">
      <x:c r="A299" s="18" t="n">
        <x:v>283</x:v>
      </x:c>
      <x:c r="B299" s="18" t="str">
        <x:v>Reconocedor de acordes de audio</x:v>
      </x:c>
      <x:c r="C299" s="18" t="str">
        <x:v>chord detector</x:v>
      </x:c>
      <x:c r="D299" s="19" t="n">
        <x:v>3600</x:v>
      </x:c>
      <x:c r="E299" s="18" t="str">
        <x:v>Inferior a 240.000</x:v>
      </x:c>
      <x:c r="F299" s="18" t="str">
        <x:v>Reserva: NO cumple demanda autorizada</x:v>
      </x:c>
      <x:c r="G299" s="18" t="str">
        <x:v>Música</x:v>
      </x:c>
      <x:c r="H299" s="18" t="str">
        <x:v>https://tools.usefulverse.com/tools/chord-recognizer/</x:v>
      </x:c>
      <x:c r="I299" s="18" t="str">
        <x:v>Estimar acordes en un audio y editar una línea temporal antes de exportar.</x:v>
      </x:c>
      <x:c r="J299" s="18" t="str">
        <x:v>song-key-finder devuelve tonalidad global; no acordes a lo largo del tiempo.</x:v>
      </x:c>
      <x:c r="K299" s="18" t="str">
        <x:v>Modelo local y licencia, límites de polifonía explícitos.</x:v>
      </x:c>
      <x:c r="L299" s="18" t="str">
        <x:v>Modelo local: licencia y rendimiento pendientes</x:v>
      </x:c>
      <x:c r="M299" s="18" t="str">
        <x:v>Revisar motor, recursos y dependencias</x:v>
      </x:c>
      <x:c r="N299" s="18" t="str">
        <x:v>Interfaz en 37 idiomas; idioma no elige país ni reglas. Formatos Intl, RTL y datos/lexicón de idioma con cobertura explícita.</x:v>
      </x:c>
      <x:c r="O299" s="18" t="str">
        <x:v>global-candidates.json</x:v>
      </x:c>
      <x:c r="P299" s="18" t="str">
        <x:v>2025-10 / 2026-09</x:v>
      </x:c>
      <x:c r="Q299" s="18" t="str">
        <x:v>L</x:v>
      </x:c>
      <x:c r="R299" s="18" t="str">
        <x:v>UV0983</x:v>
      </x:c>
      <x:c r="S299" s="18" t="str">
        <x:v>https://github.com/huggingface/transformers.js</x:v>
      </x:c>
    </x:row>
    <x:row r="300" ht="64" customHeight="1">
      <x:c r="A300" s="18" t="n">
        <x:v>284</x:v>
      </x:c>
      <x:c r="B300" s="18" t="str">
        <x:v>Anonimizador de conjuntos de datos</x:v>
      </x:c>
      <x:c r="C300" s="18" t="str">
        <x:v>anonymize data</x:v>
      </x:c>
      <x:c r="D300" s="19" t="n">
        <x:v>3600</x:v>
      </x:c>
      <x:c r="E300" s="18" t="str">
        <x:v>Inferior a 240.000</x:v>
      </x:c>
      <x:c r="F300" s="18" t="str">
        <x:v>Reserva: NO cumple demanda autorizada</x:v>
      </x:c>
      <x:c r="G300" s="18" t="str">
        <x:v>Desarrollo</x:v>
      </x:c>
      <x:c r="H300" s="18" t="str">
        <x:v>https://tools.usefulverse.com/tools/dataset-anonymizer/</x:v>
      </x:c>
      <x:c r="I300" s="18" t="str">
        <x:v>Detectar campos personales, seudonimizar coherentemente y exportar tabla con informe.</x:v>
      </x:c>
      <x:c r="J300" s="18" t="str">
        <x:v>test-data-generator crea registros nuevos; aquí se transforma un conjunto real.</x:v>
      </x:c>
      <x:c r="K300" s="18" t="str">
        <x:v>Todo local; seudonimización no equivale a anonimato irreversible.</x:v>
      </x:c>
      <x:c r="L300" s="18" t="str">
        <x:v>Cálculo/editor/juego local propuesto</x:v>
      </x:c>
      <x:c r="M300" s="18" t="str">
        <x:v>Revisar motor, recursos y dependencias</x:v>
      </x:c>
      <x:c r="N300" s="18" t="str">
        <x:v>Interfaz en 37 idiomas; idioma no elige país ni reglas. Formatos Intl, RTL y datos/lexicón de idioma con cobertura explícita.</x:v>
      </x:c>
      <x:c r="O300" s="18" t="str">
        <x:v>global-candidates.json</x:v>
      </x:c>
      <x:c r="P300" s="18" t="str">
        <x:v>2025-10 / 2026-09</x:v>
      </x:c>
      <x:c r="Q300" s="18" t="str">
        <x:v>M</x:v>
      </x:c>
      <x:c r="R300" s="18" t="str">
        <x:v>UV0984</x:v>
      </x:c>
      <x:c r="S300" s="18" t="str">
        <x:v>Pendiente de fuente específica antes de implementar</x:v>
      </x:c>
    </x:row>
    <x:row r="301" ht="64" customHeight="1">
      <x:c r="A301" s="18" t="n">
        <x:v>285</x:v>
      </x:c>
      <x:c r="B301" s="18" t="str">
        <x:v>Analizador de consultas SQL</x:v>
      </x:c>
      <x:c r="C301" s="18" t="str">
        <x:v>explain sql</x:v>
      </x:c>
      <x:c r="D301" s="19" t="n">
        <x:v>3600</x:v>
      </x:c>
      <x:c r="E301" s="18" t="str">
        <x:v>Inferior a 240.000</x:v>
      </x:c>
      <x:c r="F301" s="18" t="str">
        <x:v>Reserva: NO cumple demanda autorizada</x:v>
      </x:c>
      <x:c r="G301" s="18" t="str">
        <x:v>Desarrollo</x:v>
      </x:c>
      <x:c r="H301" s="18" t="str">
        <x:v>https://tools.usefulverse.com/tools/sql-query-explainer/</x:v>
      </x:c>
      <x:c r="I301" s="18" t="str">
        <x:v>Analizar SQL y un esquema aportado, mostrar dependencias y ejecutar EXPLAIN en SQLite local.</x:v>
      </x:c>
      <x:c r="J301" s="18" t="str">
        <x:v>sqlite-playground ejecuta consultas; este flujo explica su plan y relaciones.</x:v>
      </x:c>
      <x:c r="K301" s="18" t="str">
        <x:v>Planes reales solo para motor soportado; otros dialectos como análisis estático.</x:v>
      </x:c>
      <x:c r="L301" s="18" t="str">
        <x:v>Cálculo/editor/juego local propuesto</x:v>
      </x:c>
      <x:c r="M301" s="18" t="str">
        <x:v>Revisar motor, recursos y dependencias</x:v>
      </x:c>
      <x:c r="N301" s="18" t="str">
        <x:v>Interfaz en 37 idiomas; idioma no elige país ni reglas. Formatos Intl, RTL y datos/lexicón de idioma con cobertura explícita.</x:v>
      </x:c>
      <x:c r="O301" s="18" t="str">
        <x:v>global-candidates.json</x:v>
      </x:c>
      <x:c r="P301" s="18" t="str">
        <x:v>2025-10 / 2026-09</x:v>
      </x:c>
      <x:c r="Q301" s="18" t="str">
        <x:v>M</x:v>
      </x:c>
      <x:c r="R301" s="18" t="str">
        <x:v>UV0985</x:v>
      </x:c>
      <x:c r="S301" s="18" t="str">
        <x:v>Pendiente de fuente específica antes de implementar</x:v>
      </x:c>
    </x:row>
    <x:row r="302" ht="64" customHeight="1">
      <x:c r="A302" s="18" t="n">
        <x:v>286</x:v>
      </x:c>
      <x:c r="B302" s="18" t="str">
        <x:v>Conquista de territorio</x:v>
      </x:c>
      <x:c r="C302" s="18" t="str">
        <x:v>territory game</x:v>
      </x:c>
      <x:c r="D302" s="19" t="n">
        <x:v>3600</x:v>
      </x:c>
      <x:c r="E302" s="18" t="str">
        <x:v>Inferior a 240.000</x:v>
      </x:c>
      <x:c r="F302" s="18" t="str">
        <x:v>Reserva: NO cumple demanda autorizada</x:v>
      </x:c>
      <x:c r="G302" s="18" t="str">
        <x:v>Juegos</x:v>
      </x:c>
      <x:c r="H302" s="18" t="str">
        <x:v>https://tools.usefulverse.com/tools/territory-game/</x:v>
      </x:c>
      <x:c r="I302" s="18" t="str">
        <x:v>Cerrar rutas para reclamar áreas y proteger la ruta abierta contra bots.</x:v>
      </x:c>
      <x:c r="J302" s="18" t="str">
        <x:v>go-game conquista por reglas de tablero; aquí se juega en movimiento continuo.</x:v>
      </x:c>
      <x:c r="K302" s="18" t="str">
        <x:v>No usar nombres o diseños de juegos comerciales.</x:v>
      </x:c>
      <x:c r="L302" s="18" t="str">
        <x:v>Cálculo/editor/juego local propuesto</x:v>
      </x:c>
      <x:c r="M302" s="18" t="str">
        <x:v>Revisar motor, recursos y dependencias</x:v>
      </x:c>
      <x:c r="N302" s="18" t="str">
        <x:v>Interfaz en 37 idiomas; idioma no elige país ni reglas. Reglas y variante elegibles; ayudas claras y arte propio.</x:v>
      </x:c>
      <x:c r="O302" s="18" t="str">
        <x:v>global-candidates.json</x:v>
      </x:c>
      <x:c r="P302" s="18" t="str">
        <x:v>2025-10 / 2026-09</x:v>
      </x:c>
      <x:c r="Q302" s="18" t="str">
        <x:v>M</x:v>
      </x:c>
      <x:c r="R302" s="18" t="str">
        <x:v>UV0986</x:v>
      </x:c>
      <x:c r="S302" s="18" t="str">
        <x:v>Pendiente de fuente específica antes de implementar</x:v>
      </x:c>
    </x:row>
    <x:row r="303" ht="64" customHeight="1">
      <x:c r="A303" s="18" t="n">
        <x:v>287</x:v>
      </x:c>
      <x:c r="B303" s="18" t="str">
        <x:v>Normalizador de sonoridad</x:v>
      </x:c>
      <x:c r="C303" s="18" t="str">
        <x:v>audio normalization</x:v>
      </x:c>
      <x:c r="D303" s="19" t="n">
        <x:v>2900</x:v>
      </x:c>
      <x:c r="E303" s="18" t="str">
        <x:v>Inferior a 240.000</x:v>
      </x:c>
      <x:c r="F303" s="18" t="str">
        <x:v>Reserva: NO cumple demanda autorizada</x:v>
      </x:c>
      <x:c r="G303" s="18" t="str">
        <x:v>Música</x:v>
      </x:c>
      <x:c r="H303" s="18" t="str">
        <x:v>https://tools.usefulverse.com/tools/audio-loudness-normalizer/</x:v>
      </x:c>
      <x:c r="I303" s="18" t="str">
        <x:v>Medir LUFS y true peak y normalizar a un destino con informe.</x:v>
      </x:c>
      <x:c r="J303" s="18" t="str">
        <x:v>audio-compressor cambia tamaño, no mide sonoridad según un estándar.</x:v>
      </x:c>
      <x:c r="K303" s="18" t="str">
        <x:v>Algoritmo local según norma; perfiles no equivalen a garantía de plataforma.</x:v>
      </x:c>
      <x:c r="L303" s="18" t="str">
        <x:v>Cálculo/editor/juego local propuesto</x:v>
      </x:c>
      <x:c r="M303" s="18" t="str">
        <x:v>Revisar motor, recursos y dependencias</x:v>
      </x:c>
      <x:c r="N303" s="18" t="str">
        <x:v>Interfaz en 37 idiomas; idioma no elige país ni reglas. Formatos Intl, RTL y datos/lexicón de idioma con cobertura explícita.</x:v>
      </x:c>
      <x:c r="O303" s="18" t="str">
        <x:v>global-candidates.json</x:v>
      </x:c>
      <x:c r="P303" s="18" t="str">
        <x:v>2025-10 / 2026-09</x:v>
      </x:c>
      <x:c r="Q303" s="18" t="str">
        <x:v>M</x:v>
      </x:c>
      <x:c r="R303" s="18" t="str">
        <x:v>UV0987</x:v>
      </x:c>
      <x:c r="S303" s="18" t="str">
        <x:v>Pendiente de fuente específica antes de implementar</x:v>
      </x:c>
    </x:row>
    <x:row r="304" ht="64" customHeight="1">
      <x:c r="A304" s="18" t="n">
        <x:v>288</x:v>
      </x:c>
      <x:c r="B304" s="18" t="str">
        <x:v>Escalera de bonos</x:v>
      </x:c>
      <x:c r="C304" s="18" t="str">
        <x:v>bond ladder</x:v>
      </x:c>
      <x:c r="D304" s="19" t="n">
        <x:v>2900</x:v>
      </x:c>
      <x:c r="E304" s="18" t="str">
        <x:v>Inferior a 240.000</x:v>
      </x:c>
      <x:c r="F304" s="18" t="str">
        <x:v>Reserva: NO cumple demanda autorizada</x:v>
      </x:c>
      <x:c r="G304" s="18" t="str">
        <x:v>Finanzas</x:v>
      </x:c>
      <x:c r="H304" s="18" t="str">
        <x:v>https://tools.usefulverse.com/tools/bond-ladder-planner/</x:v>
      </x:c>
      <x:c r="I304" s="18" t="str">
        <x:v>Distribuir vencimientos y flujos de bonos según necesidades de caja y restricciones.</x:v>
      </x:c>
      <x:c r="J304" s="18" t="str">
        <x:v>bond-calculator evalúa un bono; no organiza una cartera de vencimientos.</x:v>
      </x:c>
      <x:c r="K304" s="18" t="str">
        <x:v>Cotizaciones y supuestos introducidos; sin compra ni recomendación personalizada.</x:v>
      </x:c>
      <x:c r="L304" s="18" t="str">
        <x:v>Cálculo/editor/juego local propuesto</x:v>
      </x:c>
      <x:c r="M304" s="18" t="str">
        <x:v>Revisar motor, recursos y dependencias</x:v>
      </x:c>
      <x:c r="N304" s="18" t="str">
        <x:v>Interfaz en 37 idiomas; idioma no elige país ni reglas. Jurisdicción y año visibles; fuentes oficiales del país.</x:v>
      </x:c>
      <x:c r="O304" s="18" t="str">
        <x:v>global-candidates.json</x:v>
      </x:c>
      <x:c r="P304" s="18" t="str">
        <x:v>2025-10 / 2026-09</x:v>
      </x:c>
      <x:c r="Q304" s="18" t="str">
        <x:v>L</x:v>
      </x:c>
      <x:c r="R304" s="18" t="str">
        <x:v>UV0988</x:v>
      </x:c>
      <x:c r="S304" s="18" t="str">
        <x:v>Pendiente de fuente específica antes de implementar</x:v>
      </x:c>
    </x:row>
    <x:row r="305" ht="64" customHeight="1">
      <x:c r="A305" s="18" t="n">
        <x:v>289</x:v>
      </x:c>
      <x:c r="B305" s="18" t="str">
        <x:v>Calculadora de especificidad CSS</x:v>
      </x:c>
      <x:c r="C305" s="18" t="str">
        <x:v>css specificity</x:v>
      </x:c>
      <x:c r="D305" s="19" t="n">
        <x:v>2900</x:v>
      </x:c>
      <x:c r="E305" s="18" t="str">
        <x:v>Inferior a 240.000</x:v>
      </x:c>
      <x:c r="F305" s="18" t="str">
        <x:v>Reserva: NO cumple demanda autorizada</x:v>
      </x:c>
      <x:c r="G305" s="18" t="str">
        <x:v>Desarrollo</x:v>
      </x:c>
      <x:c r="H305" s="18" t="str">
        <x:v>https://tools.usefulverse.com/tools/css-specificity-calculator/</x:v>
      </x:c>
      <x:c r="I305" s="18" t="str">
        <x:v>Desglosar selectores y comparar prioridad con reglas modernas de cascada.</x:v>
      </x:c>
      <x:c r="J305" s="18" t="str">
        <x:v>css-formatter no calcula precedencia de selectores.</x:v>
      </x:c>
      <x:c r="K305" s="18" t="str">
        <x:v>Parser actualizado a CSS Selectors y casos :is, :where y capas.</x:v>
      </x:c>
      <x:c r="L305" s="18" t="str">
        <x:v>Cálculo/editor/juego local propuesto</x:v>
      </x:c>
      <x:c r="M305" s="18" t="str">
        <x:v>Revisar motor, recursos y dependencias</x:v>
      </x:c>
      <x:c r="N305" s="18" t="str">
        <x:v>Interfaz en 37 idiomas; idioma no elige país ni reglas. Formatos Intl, RTL y datos/lexicón de idioma con cobertura explícita.</x:v>
      </x:c>
      <x:c r="O305" s="18" t="str">
        <x:v>global-candidates.json</x:v>
      </x:c>
      <x:c r="P305" s="18" t="str">
        <x:v>2025-10 / 2026-09</x:v>
      </x:c>
      <x:c r="Q305" s="18" t="str">
        <x:v>M</x:v>
      </x:c>
      <x:c r="R305" s="18" t="str">
        <x:v>UV0989</x:v>
      </x:c>
      <x:c r="S305" s="18" t="str">
        <x:v>Pendiente de fuente específica antes de implementar</x:v>
      </x:c>
    </x:row>
    <x:row r="306" ht="64" customHeight="1">
      <x:c r="A306" s="18" t="n">
        <x:v>290</x:v>
      </x:c>
      <x:c r="B306" s="18" t="str">
        <x:v>Reconocimiento de fórmulas a LaTeX</x:v>
      </x:c>
      <x:c r="C306" s="18" t="str">
        <x:v>math ocr</x:v>
      </x:c>
      <x:c r="D306" s="19" t="n">
        <x:v>2900</x:v>
      </x:c>
      <x:c r="E306" s="18" t="str">
        <x:v>Inferior a 240.000</x:v>
      </x:c>
      <x:c r="F306" s="18" t="str">
        <x:v>Reserva: NO cumple demanda autorizada</x:v>
      </x:c>
      <x:c r="G306" s="18" t="str">
        <x:v>Ciencia</x:v>
      </x:c>
      <x:c r="H306" s="18" t="str">
        <x:v>https://tools.usefulverse.com/tools/equation-photo-reader/</x:v>
      </x:c>
      <x:c r="I306" s="18" t="str">
        <x:v>Reconocer una fórmula de imagen, corregir estructura y exportar LaTeX y MathML.</x:v>
      </x:c>
      <x:c r="J306" s="18" t="str">
        <x:v>image-to-text reconoce texto; no reconstruye fracciones, matrices ni estructura matemática.</x:v>
      </x:c>
      <x:c r="K306" s="18" t="str">
        <x:v>Modelo local y licencia; no contar un solver matemático general como demanda propia.</x:v>
      </x:c>
      <x:c r="L306" s="18" t="str">
        <x:v>Modelo local: licencia y rendimiento pendientes</x:v>
      </x:c>
      <x:c r="M306" s="18" t="str">
        <x:v>Revisar motor, recursos y dependencias</x:v>
      </x:c>
      <x:c r="N306" s="18" t="str">
        <x:v>Interfaz en 37 idiomas; idioma no elige país ni reglas. Formatos Intl, RTL y datos/lexicón de idioma con cobertura explícita.</x:v>
      </x:c>
      <x:c r="O306" s="18" t="str">
        <x:v>global-candidates.json</x:v>
      </x:c>
      <x:c r="P306" s="18" t="str">
        <x:v>2025-10 / 2026-09</x:v>
      </x:c>
      <x:c r="Q306" s="18" t="str">
        <x:v>L</x:v>
      </x:c>
      <x:c r="R306" s="18" t="str">
        <x:v>UV0990</x:v>
      </x:c>
      <x:c r="S306" s="18" t="str">
        <x:v>https://github.com/huggingface/transformers.js</x:v>
      </x:c>
    </x:row>
    <x:row r="307" ht="64" customHeight="1">
      <x:c r="A307" s="18" t="n">
        <x:v>291</x:v>
      </x:c>
      <x:c r="B307" s="18" t="str">
        <x:v>Rascacielos</x:v>
      </x:c>
      <x:c r="C307" s="18" t="str">
        <x:v>skyscrapers puzzle</x:v>
      </x:c>
      <x:c r="D307" s="19" t="n">
        <x:v>2900</x:v>
      </x:c>
      <x:c r="E307" s="18" t="str">
        <x:v>Inferior a 240.000</x:v>
      </x:c>
      <x:c r="F307" s="18" t="str">
        <x:v>Reserva: NO cumple demanda autorizada</x:v>
      </x:c>
      <x:c r="G307" s="18" t="str">
        <x:v>Juegos</x:v>
      </x:c>
      <x:c r="H307" s="18" t="str">
        <x:v>https://tools.usefulverse.com/tools/skyscrapers-puzzle/</x:v>
      </x:c>
      <x:c r="I307" s="18" t="str">
        <x:v>Colocar alturas y cumplir vistas desde los bordes de una cuadrícula latina.</x:v>
      </x:c>
      <x:c r="J307" s="18" t="str">
        <x:v>futoshiki usa desigualdades entre vecinos; aquí las pistas cuentan visibilidad.</x:v>
      </x:c>
      <x:c r="K307" s="18" t="str">
        <x:v>Puzzles originales; no contar como Sudoku solo con otro tema.</x:v>
      </x:c>
      <x:c r="L307" s="18" t="str">
        <x:v>Cálculo/editor/juego local propuesto</x:v>
      </x:c>
      <x:c r="M307" s="18" t="str">
        <x:v>Revisar motor, recursos y dependencias</x:v>
      </x:c>
      <x:c r="N307" s="18" t="str">
        <x:v>Interfaz en 37 idiomas; idioma no elige país ni reglas. Reglas y variante elegibles; ayudas claras y arte propio.</x:v>
      </x:c>
      <x:c r="O307" s="18" t="str">
        <x:v>global-candidates.json</x:v>
      </x:c>
      <x:c r="P307" s="18" t="str">
        <x:v>2025-10 / 2026-09</x:v>
      </x:c>
      <x:c r="Q307" s="18" t="str">
        <x:v>M</x:v>
      </x:c>
      <x:c r="R307" s="18" t="str">
        <x:v>UV0991</x:v>
      </x:c>
      <x:c r="S307" s="18" t="str">
        <x:v>Pendiente de fuente específica antes de implementar</x:v>
      </x:c>
    </x:row>
    <x:row r="308" ht="64" customHeight="1">
      <x:c r="A308" s="18" t="n">
        <x:v>292</x:v>
      </x:c>
      <x:c r="B308" s="18" t="str">
        <x:v>Ayuda de prima sanitaria ACA</x:v>
      </x:c>
      <x:c r="C308" s="18" t="str">
        <x:v>aca subsidy calculator</x:v>
      </x:c>
      <x:c r="D308" s="19" t="n">
        <x:v>2900</x:v>
      </x:c>
      <x:c r="E308" s="18" t="str">
        <x:v>Inferior a 240.000</x:v>
      </x:c>
      <x:c r="F308" s="18" t="str">
        <x:v>Reserva: NO cumple demanda autorizada</x:v>
      </x:c>
      <x:c r="G308" s="18" t="str">
        <x:v>Finanzas</x:v>
      </x:c>
      <x:c r="H308" s="18" t="str">
        <x:v>https://tools.usefulverse.com/tools/us-aca-subsidy/</x:v>
      </x:c>
      <x:c r="I308" s="18" t="str">
        <x:v>Estimar elegibilidad y crédito de prima con hogar, ingreso y prima de referencia aportada.</x:v>
      </x:c>
      <x:c r="J308" s="18" t="str">
        <x:v>switzerland-premium-subsidy-calculator resta una ayuda ya concedida, no estima ACA.</x:v>
      </x:c>
      <x:c r="K308" s="18" t="str">
        <x:v>Normas federales vigentes y prima real del condado o aportada.</x:v>
      </x:c>
      <x:c r="L308" s="18" t="str">
        <x:v>Cálculo/editor/juego local propuesto</x:v>
      </x:c>
      <x:c r="M308" s="18" t="str">
        <x:v>Alta: normativa y tablas por ejercicio</x:v>
      </x:c>
      <x:c r="N308" s="18" t="str">
        <x:v>Interfaz en 37 idiomas; idioma no elige país ni reglas. Jurisdicción y año visibles; fuentes oficiales del país.</x:v>
      </x:c>
      <x:c r="O308" s="18" t="str">
        <x:v>global-candidates.json</x:v>
      </x:c>
      <x:c r="P308" s="18" t="str">
        <x:v>2025-10 / 2026-09</x:v>
      </x:c>
      <x:c r="Q308" s="18" t="str">
        <x:v>L</x:v>
      </x:c>
      <x:c r="R308" s="18" t="str">
        <x:v>UV0992</x:v>
      </x:c>
      <x:c r="S308" s="18" t="str">
        <x:v>https://www.irs.gov/payments/tax-withholding</x:v>
      </x:c>
    </x:row>
    <x:row r="309" ht="64" customHeight="1">
      <x:c r="A309" s="18" t="n">
        <x:v>293</x:v>
      </x:c>
      <x:c r="B309" s="18" t="str">
        <x:v>Desarrollos de sólidos</x:v>
      </x:c>
      <x:c r="C309" s="18" t="str">
        <x:v>3d shape nets</x:v>
      </x:c>
      <x:c r="D309" s="19" t="n">
        <x:v>2400</x:v>
      </x:c>
      <x:c r="E309" s="18" t="str">
        <x:v>Inferior a 240.000</x:v>
      </x:c>
      <x:c r="F309" s="18" t="str">
        <x:v>Reserva: NO cumple demanda autorizada</x:v>
      </x:c>
      <x:c r="G309" s="18" t="str">
        <x:v>Ciencia</x:v>
      </x:c>
      <x:c r="H309" s="18" t="str">
        <x:v>https://tools.usefulverse.com/tools/geometry-net-generator/</x:v>
      </x:c>
      <x:c r="I309" s="18" t="str">
        <x:v>Elegir un poliedro, desplegarlo y exportar una plantilla con pestañas.</x:v>
      </x:c>
      <x:c r="J309" s="18" t="str">
        <x:v>volume-calculator calcula cantidades; no produce desarrollos fabricables.</x:v>
      </x:c>
      <x:c r="K309" s="18" t="str">
        <x:v>Geometría local y escala de impresión comprobable.</x:v>
      </x:c>
      <x:c r="L309" s="18" t="str">
        <x:v>Cálculo/editor/juego local propuesto</x:v>
      </x:c>
      <x:c r="M309" s="18" t="str">
        <x:v>Revisar motor, recursos y dependencias</x:v>
      </x:c>
      <x:c r="N309" s="18" t="str">
        <x:v>Interfaz en 37 idiomas; idioma no elige país ni reglas. Formatos Intl, RTL y datos/lexicón de idioma con cobertura explícita.</x:v>
      </x:c>
      <x:c r="O309" s="18" t="str">
        <x:v>global-candidates.json</x:v>
      </x:c>
      <x:c r="P309" s="18" t="str">
        <x:v>2025-10 / 2026-09</x:v>
      </x:c>
      <x:c r="Q309" s="18" t="str">
        <x:v>M</x:v>
      </x:c>
      <x:c r="R309" s="18" t="str">
        <x:v>UV0993</x:v>
      </x:c>
      <x:c r="S309" s="18" t="str">
        <x:v>Pendiente de fuente específica antes de implementar</x:v>
      </x:c>
    </x:row>
    <x:row r="310" ht="64" customHeight="1">
      <x:c r="A310" s="18" t="n">
        <x:v>294</x:v>
      </x:c>
      <x:c r="B310" s="18" t="str">
        <x:v>Trazador óptico</x:v>
      </x:c>
      <x:c r="C310" s="18" t="str">
        <x:v>lens simulator</x:v>
      </x:c>
      <x:c r="D310" s="19" t="n">
        <x:v>2400</x:v>
      </x:c>
      <x:c r="E310" s="18" t="str">
        <x:v>Inferior a 240.000</x:v>
      </x:c>
      <x:c r="F310" s="18" t="str">
        <x:v>Reserva: NO cumple demanda autorizada</x:v>
      </x:c>
      <x:c r="G310" s="18" t="str">
        <x:v>Ciencia</x:v>
      </x:c>
      <x:c r="H310" s="18" t="str">
        <x:v>https://tools.usefulverse.com/tools/optics-ray-tracer/</x:v>
      </x:c>
      <x:c r="I310" s="18" t="str">
        <x:v>Dibujar lentes y espejos y trazar rayos con distancia focal y refracción.</x:v>
      </x:c>
      <x:c r="J310" s="18" t="str">
        <x:v>image-editor no modela sistemas ópticos; no hay trazador físico.</x:v>
      </x:c>
      <x:c r="K310" s="18" t="str">
        <x:v>Aproximaciones ópticas y unidades visibles.</x:v>
      </x:c>
      <x:c r="L310" s="18" t="str">
        <x:v>Cálculo/editor/juego local propuesto</x:v>
      </x:c>
      <x:c r="M310" s="18" t="str">
        <x:v>Revisar motor, recursos y dependencias</x:v>
      </x:c>
      <x:c r="N310" s="18" t="str">
        <x:v>Interfaz en 37 idiomas; idioma no elige país ni reglas. Formatos Intl, RTL y datos/lexicón de idioma con cobertura explícita.</x:v>
      </x:c>
      <x:c r="O310" s="18" t="str">
        <x:v>global-candidates.json</x:v>
      </x:c>
      <x:c r="P310" s="18" t="str">
        <x:v>2025-10 / 2026-09</x:v>
      </x:c>
      <x:c r="Q310" s="18" t="str">
        <x:v>M</x:v>
      </x:c>
      <x:c r="R310" s="18" t="str">
        <x:v>UV0994</x:v>
      </x:c>
      <x:c r="S310" s="18" t="str">
        <x:v>Pendiente de fuente específica antes de implementar</x:v>
      </x:c>
    </x:row>
    <x:row r="311" ht="64" customHeight="1">
      <x:c r="A311" s="18" t="n">
        <x:v>295</x:v>
      </x:c>
      <x:c r="B311" s="18" t="str">
        <x:v>Analizador de fórmulas de hoja de cálculo</x:v>
      </x:c>
      <x:c r="C311" s="18" t="str">
        <x:v>excel formula generator</x:v>
      </x:c>
      <x:c r="D311" s="19" t="n">
        <x:v>2400</x:v>
      </x:c>
      <x:c r="E311" s="18" t="str">
        <x:v>Inferior a 240.000</x:v>
      </x:c>
      <x:c r="F311" s="18" t="str">
        <x:v>Reserva: NO cumple demanda autorizada</x:v>
      </x:c>
      <x:c r="G311" s="18" t="str">
        <x:v>Trabajo</x:v>
      </x:c>
      <x:c r="H311" s="18" t="str">
        <x:v>https://tools.usefulverse.com/tools/spreadsheet-formula-explainer/</x:v>
      </x:c>
      <x:c r="I311" s="18" t="str">
        <x:v>Construir fórmulas visualmente, explicar dependencias y probar ejemplos locales.</x:v>
      </x:c>
      <x:c r="J311" s="18" t="str">
        <x:v>spreadsheet-converter cambia formatos; no interpreta fórmulas.</x:v>
      </x:c>
      <x:c r="K311" s="18" t="str">
        <x:v>No prometer generación libre por IA si solo se usan reglas; dialectos Excel/Sheets explícitos.</x:v>
      </x:c>
      <x:c r="L311" s="18" t="str">
        <x:v>Cálculo/editor/juego local propuesto</x:v>
      </x:c>
      <x:c r="M311" s="18" t="str">
        <x:v>Revisar motor, recursos y dependencias</x:v>
      </x:c>
      <x:c r="N311" s="18" t="str">
        <x:v>Interfaz en 37 idiomas; idioma no elige país ni reglas. Formatos Intl, RTL y datos/lexicón de idioma con cobertura explícita.</x:v>
      </x:c>
      <x:c r="O311" s="18" t="str">
        <x:v>global-candidates.json</x:v>
      </x:c>
      <x:c r="P311" s="18" t="str">
        <x:v>2025-10 / 2026-09</x:v>
      </x:c>
      <x:c r="Q311" s="18" t="str">
        <x:v>M</x:v>
      </x:c>
      <x:c r="R311" s="18" t="str">
        <x:v>UV0995</x:v>
      </x:c>
      <x:c r="S311" s="18" t="str">
        <x:v>Pendiente de fuente específica antes de implementar</x:v>
      </x:c>
    </x:row>
    <x:row r="312" ht="64" customHeight="1">
      <x:c r="A312" s="18" t="n">
        <x:v>296</x:v>
      </x:c>
      <x:c r="B312" s="18" t="str">
        <x:v>Reductor de fuentes por glifos</x:v>
      </x:c>
      <x:c r="C312" s="18" t="str">
        <x:v>webfont generator</x:v>
      </x:c>
      <x:c r="D312" s="19" t="n">
        <x:v>2400</x:v>
      </x:c>
      <x:c r="E312" s="18" t="str">
        <x:v>Inferior a 240.000</x:v>
      </x:c>
      <x:c r="F312" s="18" t="str">
        <x:v>Reserva: NO cumple demanda autorizada</x:v>
      </x:c>
      <x:c r="G312" s="18" t="str">
        <x:v>Desarrollo</x:v>
      </x:c>
      <x:c r="H312" s="18" t="str">
        <x:v>https://tools.usefulverse.com/tools/webfont-subsetter/</x:v>
      </x:c>
      <x:c r="I312" s="18" t="str">
        <x:v>Seleccionar caracteres o texto y exportar una fuente reducida con informe de glifos.</x:v>
      </x:c>
      <x:c r="J312" s="18" t="str">
        <x:v>font-tester previsualiza; no modifica tablas ni reduce fuentes.</x:v>
      </x:c>
      <x:c r="K312" s="18" t="str">
        <x:v>Motor local y permiso de modificación de la fuente de entrada.</x:v>
      </x:c>
      <x:c r="L312" s="18" t="str">
        <x:v>Cálculo/editor/juego local propuesto</x:v>
      </x:c>
      <x:c r="M312" s="18" t="str">
        <x:v>Revisar motor, recursos y dependencias</x:v>
      </x:c>
      <x:c r="N312" s="18" t="str">
        <x:v>Interfaz en 37 idiomas; idioma no elige país ni reglas. Formatos Intl, RTL y datos/lexicón de idioma con cobertura explícita.</x:v>
      </x:c>
      <x:c r="O312" s="18" t="str">
        <x:v>global-candidates.json</x:v>
      </x:c>
      <x:c r="P312" s="18" t="str">
        <x:v>2025-10 / 2026-09</x:v>
      </x:c>
      <x:c r="Q312" s="18" t="str">
        <x:v>M</x:v>
      </x:c>
      <x:c r="R312" s="18" t="str">
        <x:v>UV0996</x:v>
      </x:c>
      <x:c r="S312" s="18" t="str">
        <x:v>Pendiente de fuente específica antes de implementar</x:v>
      </x:c>
    </x:row>
    <x:row r="313" ht="64" customHeight="1">
      <x:c r="A313" s="18" t="n">
        <x:v>297</x:v>
      </x:c>
      <x:c r="B313" s="18" t="str">
        <x:v>Akari, iluminar casillas</x:v>
      </x:c>
      <x:c r="C313" s="18" t="str">
        <x:v>light up puzzle</x:v>
      </x:c>
      <x:c r="D313" s="19" t="n">
        <x:v>1900</x:v>
      </x:c>
      <x:c r="E313" s="18" t="str">
        <x:v>Inferior a 240.000</x:v>
      </x:c>
      <x:c r="F313" s="18" t="str">
        <x:v>Reserva: NO cumple demanda autorizada</x:v>
      </x:c>
      <x:c r="G313" s="18" t="str">
        <x:v>Juegos</x:v>
      </x:c>
      <x:c r="H313" s="18" t="str">
        <x:v>https://tools.usefulverse.com/tools/akari-puzzle/</x:v>
      </x:c>
      <x:c r="I313" s="18" t="str">
        <x:v>Colocar lámparas para iluminar casillas sin que se vean entre sí.</x:v>
      </x:c>
      <x:c r="J313" s="18" t="str">
        <x:v>hitori elimina duplicados; Akari modela rayos y adyacencias numeradas.</x:v>
      </x:c>
      <x:c r="K313" s="18" t="str">
        <x:v>Puzzles originales y solución única.</x:v>
      </x:c>
      <x:c r="L313" s="18" t="str">
        <x:v>Cálculo/editor/juego local propuesto</x:v>
      </x:c>
      <x:c r="M313" s="18" t="str">
        <x:v>Revisar motor, recursos y dependencias</x:v>
      </x:c>
      <x:c r="N313" s="18" t="str">
        <x:v>Interfaz en 37 idiomas; idioma no elige país ni reglas. Reglas y variante elegibles; ayudas claras y arte propio.</x:v>
      </x:c>
      <x:c r="O313" s="18" t="str">
        <x:v>global-candidates.json</x:v>
      </x:c>
      <x:c r="P313" s="18" t="str">
        <x:v>2025-10 / 2026-09</x:v>
      </x:c>
      <x:c r="Q313" s="18" t="str">
        <x:v>M</x:v>
      </x:c>
      <x:c r="R313" s="18" t="str">
        <x:v>UV0997</x:v>
      </x:c>
      <x:c r="S313" s="18" t="str">
        <x:v>Pendiente de fuente específica antes de implementar</x:v>
      </x:c>
    </x:row>
    <x:row r="314" ht="64" customHeight="1">
      <x:c r="A314" s="18" t="n">
        <x:v>298</x:v>
      </x:c>
      <x:c r="B314" s="18" t="str">
        <x:v>Juego de las Amazonas</x:v>
      </x:c>
      <x:c r="C314" s="18" t="str">
        <x:v>juego amazonas</x:v>
      </x:c>
      <x:c r="D314" s="19" t="n">
        <x:v>1900</x:v>
      </x:c>
      <x:c r="E314" s="18" t="str">
        <x:v>Inferior a 240.000</x:v>
      </x:c>
      <x:c r="F314" s="18" t="str">
        <x:v>Reserva: NO cumple demanda autorizada</x:v>
      </x:c>
      <x:c r="G314" s="18" t="str">
        <x:v>Juegos</x:v>
      </x:c>
      <x:c r="H314" s="18" t="str">
        <x:v>https://tools.usefulverse.com/tools/amazons-game/</x:v>
      </x:c>
      <x:c r="I314" s="18" t="str">
        <x:v>Mover una amazona y bloquear una casilla hasta dejar al rival sin movimientos.</x:v>
      </x:c>
      <x:c r="J314" s="18" t="str">
        <x:v>chess-game no añade bloqueos permanentes después de cada movimiento.</x:v>
      </x:c>
      <x:c r="K314" s="18" t="str">
        <x:v>Reglas públicas y bot local.</x:v>
      </x:c>
      <x:c r="L314" s="18" t="str">
        <x:v>Cálculo/editor/juego local propuesto</x:v>
      </x:c>
      <x:c r="M314" s="18" t="str">
        <x:v>Revisar motor, recursos y dependencias</x:v>
      </x:c>
      <x:c r="N314" s="18" t="str">
        <x:v>Interfaz en 37 idiomas; idioma no elige país ni reglas. Reglas y variante elegibles; ayudas claras y arte propio.</x:v>
      </x:c>
      <x:c r="O314" s="18" t="str">
        <x:v>global-candidates.json</x:v>
      </x:c>
      <x:c r="P314" s="18" t="str">
        <x:v>2025-10 / 2026-09</x:v>
      </x:c>
      <x:c r="Q314" s="18" t="str">
        <x:v>M</x:v>
      </x:c>
      <x:c r="R314" s="18" t="str">
        <x:v>UV0998</x:v>
      </x:c>
      <x:c r="S314" s="18" t="str">
        <x:v>Pendiente de fuente específica antes de implementar</x:v>
      </x:c>
    </x:row>
    <x:row r="315" ht="64" customHeight="1">
      <x:c r="A315" s="18" t="n">
        <x:v>299</x:v>
      </x:c>
      <x:c r="B315" s="18" t="str">
        <x:v>Asistente de demostraciones</x:v>
      </x:c>
      <x:c r="C315" s="18" t="str">
        <x:v>natural deduction calculator</x:v>
      </x:c>
      <x:c r="D315" s="19" t="n">
        <x:v>1900</x:v>
      </x:c>
      <x:c r="E315" s="18" t="str">
        <x:v>Inferior a 240.000</x:v>
      </x:c>
      <x:c r="F315" s="18" t="str">
        <x:v>Reserva: NO cumple demanda autorizada</x:v>
      </x:c>
      <x:c r="G315" s="18" t="str">
        <x:v>Ciencia</x:v>
      </x:c>
      <x:c r="H315" s="18" t="str">
        <x:v>https://tools.usefulverse.com/tools/formal-proof-checker/</x:v>
      </x:c>
      <x:c r="I315" s="18" t="str">
        <x:v>Escribir pasos de deducción natural y comprobar reglas y supuestos.</x:v>
      </x:c>
      <x:c r="J315" s="18" t="str">
        <x:v>truth-table-generator evalúa tablas; no verifica una demostración por pasos.</x:v>
      </x:c>
      <x:c r="K315" s="18" t="str">
        <x:v>Reglas formales explícitas; no afirmar resolver toda prueba matemática.</x:v>
      </x:c>
      <x:c r="L315" s="18" t="str">
        <x:v>Cálculo/editor/juego local propuesto</x:v>
      </x:c>
      <x:c r="M315" s="18" t="str">
        <x:v>Revisar motor, recursos y dependencias</x:v>
      </x:c>
      <x:c r="N315" s="18" t="str">
        <x:v>Interfaz en 37 idiomas; idioma no elige país ni reglas. Formatos Intl, RTL y datos/lexicón de idioma con cobertura explícita.</x:v>
      </x:c>
      <x:c r="O315" s="18" t="str">
        <x:v>global-candidates.json</x:v>
      </x:c>
      <x:c r="P315" s="18" t="str">
        <x:v>2025-10 / 2026-09</x:v>
      </x:c>
      <x:c r="Q315" s="18" t="str">
        <x:v>M</x:v>
      </x:c>
      <x:c r="R315" s="18" t="str">
        <x:v>UV0999</x:v>
      </x:c>
      <x:c r="S315" s="18" t="str">
        <x:v>Pendiente de fuente específica antes de implementar</x:v>
      </x:c>
    </x:row>
    <x:row r="316" ht="64" customHeight="1">
      <x:c r="A316" s="18" t="n">
        <x:v>300</x:v>
      </x:c>
      <x:c r="B316" s="18" t="str">
        <x:v>Heyawake</x:v>
      </x:c>
      <x:c r="C316" s="18" t="str">
        <x:v>heyawake</x:v>
      </x:c>
      <x:c r="D316" s="19" t="n">
        <x:v>1900</x:v>
      </x:c>
      <x:c r="E316" s="18" t="str">
        <x:v>Inferior a 240.000</x:v>
      </x:c>
      <x:c r="F316" s="18" t="str">
        <x:v>Reserva: NO cumple demanda autorizada</x:v>
      </x:c>
      <x:c r="G316" s="18" t="str">
        <x:v>Juegos</x:v>
      </x:c>
      <x:c r="H316" s="18" t="str">
        <x:v>https://tools.usefulverse.com/tools/heyawake-puzzle/</x:v>
      </x:c>
      <x:c r="I316" s="18" t="str">
        <x:v>Sombrear casillas por regiones manteniendo conectividad y reglas de líneas.</x:v>
      </x:c>
      <x:c r="J316" s="18" t="str">
        <x:v>nurikabe utiliza islas de tamaño fijo; restricciones distintas.</x:v>
      </x:c>
      <x:c r="K316" s="18" t="str">
        <x:v>Generador y comprobador local.</x:v>
      </x:c>
      <x:c r="L316" s="18" t="str">
        <x:v>Cálculo/editor/juego local propuesto</x:v>
      </x:c>
      <x:c r="M316" s="18" t="str">
        <x:v>Revisar motor, recursos y dependencias</x:v>
      </x:c>
      <x:c r="N316" s="18" t="str">
        <x:v>Interfaz en 37 idiomas; idioma no elige país ni reglas. Reglas y variante elegibles; ayudas claras y arte propio.</x:v>
      </x:c>
      <x:c r="O316" s="18" t="str">
        <x:v>global-candidates.json</x:v>
      </x:c>
      <x:c r="P316" s="18" t="str">
        <x:v>2025-10 / 2026-09</x:v>
      </x:c>
      <x:c r="Q316" s="18" t="str">
        <x:v>M</x:v>
      </x:c>
      <x:c r="R316" s="18" t="str">
        <x:v>UV1000</x:v>
      </x:c>
      <x:c r="S316" s="18" t="str">
        <x:v>Pendiente de fuente específica antes de implementar</x:v>
      </x:c>
    </x:row>
  </x:sheetData>
  <x:conditionalFormatting sqref="E17:F316">
    <x:cfRule type="containsText" dxfId="0" priority="1" operator="containsText" text="Reserva"/>
  </x:conditionalFormatting>
  <x:conditionalFormatting sqref="E17:E316">
    <x:cfRule type="containsText" dxfId="1" priority="2" operator="containsText" text="Inferior"/>
  </x:conditionalFormatting>
  <x:conditionalFormatting sqref="F17:F316">
    <x:cfRule type="containsText" dxfId="2" priority="3" operator="containsText" text="Revisar intención"/>
  </x:conditionalFormatting>
  <x:pageMargins left="0.7" right="0.7" top="0.75" bottom="0.75" header="0.3" footer="0.3"/>
  <x:tableParts count="1">
    <x:tablePart xmlns:r="http://schemas.openxmlformats.org/officeDocument/2006/relationships" r:id="Rf08a878c917b40b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0" hidden="0" customWidth="1"/>
    <x:col min="2" max="2" width="56" hidden="0" customWidth="1"/>
    <x:col min="3" max="3" width="26" hidden="0" customWidth="1"/>
    <x:col min="4" max="4" width="76" hidden="0" customWidth="1"/>
    <x:col min="5" max="5" width="11" hidden="0" customWidth="1"/>
    <x:col min="6" max="6" width="24" hidden="0" customWidth="1"/>
    <x:col min="7" max="7" width="110" hidden="0" customWidth="1"/>
    <x:col min="8" max="8" width="5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3" t="str">
        <x:v>Inventario de las 700 herramientas públicas</x:v>
      </x:c>
      <x:c r="B2" s="2"/>
      <x:c r="C2" s="2"/>
      <x:c r="D2" s="2"/>
      <x:c r="E2" s="2"/>
      <x:c r="F2" s="2"/>
      <x:c r="G2" s="2"/>
      <x:c r="H2" s="2"/>
    </x:row>
    <x:row r="3" ht="22" customHeight="1">
      <x:c r="A3" s="4"/>
      <x:c r="B3" s="4"/>
      <x:c r="C3" s="4"/>
      <x:c r="D3" s="4"/>
      <x:c r="E3" s="4"/>
      <x:c r="F3" s="4"/>
      <x:c r="G3" s="2"/>
      <x:c r="H3" s="2"/>
    </x:row>
    <x:row r="4" ht="22" customHeight="1">
      <x:c r="A4" s="9" t="str">
        <x:v>Línea base para evitar duplicados y pérdidas. 594 en catálogo; 106 adicionales observadas en producción.</x:v>
      </x:c>
      <x:c r="B4" s="2"/>
      <x:c r="C4" s="2"/>
      <x:c r="D4" s="2"/>
      <x:c r="E4" s="2"/>
      <x:c r="F4" s="2"/>
      <x:c r="G4" s="2"/>
      <x:c r="H4" s="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32" customHeight="1">
      <x:c r="A6" s="14" t="str">
        <x:v>ID publicado</x:v>
      </x:c>
      <x:c r="B6" s="15" t="str">
        <x:v>Nombre o intención fuente</x:v>
      </x:c>
      <x:c r="C6" s="15" t="str">
        <x:v>Host</x:v>
      </x:c>
      <x:c r="D6" s="15" t="str">
        <x:v>URL publicada</x:v>
      </x:c>
      <x:c r="E6" s="15" t="str">
        <x:v>Locales</x:v>
      </x:c>
      <x:c r="F6" s="15" t="str">
        <x:v>En catálogo main</x:v>
      </x:c>
      <x:c r="G6" s="15" t="str">
        <x:v>Función observada en metadatos</x:v>
      </x:c>
      <x:c r="H6" s="16" t="str">
        <x:v>Procedencia</x:v>
      </x:c>
    </x:row>
    <x:row r="7" ht="48" customHeight="1">
      <x:c r="A7" s="18" t="str">
        <x:v>word-counter</x:v>
      </x:c>
      <x:c r="B7" s="18" t="str">
        <x:v>Word Counter</x:v>
      </x:c>
      <x:c r="C7" s="18" t="str">
        <x:v>usefulverse.com</x:v>
      </x:c>
      <x:c r="D7" s="18" t="str">
        <x:v>https://usefulverse.com/tools/word-counter/</x:v>
      </x:c>
      <x:c r="E7" s="22" t="n">
        <x:v>36</x:v>
      </x:c>
      <x:c r="F7" s="18" t="str">
        <x:v>Sí</x:v>
      </x:c>
      <x:c r="G7" s="18" t="str">
        <x:v>Count words, characters, lines and reading time in one clear view.</x:v>
      </x:c>
      <x:c r="H7" s="18" t="str">
        <x:v>principal · commit 8dfcc147a3</x:v>
      </x:c>
    </x:row>
    <x:row r="8" ht="48" customHeight="1">
      <x:c r="A8" s="18" t="str">
        <x:v>text-case-converter</x:v>
      </x:c>
      <x:c r="B8" s="18" t="str">
        <x:v>Text Case Converter</x:v>
      </x:c>
      <x:c r="C8" s="18" t="str">
        <x:v>usefulverse.com</x:v>
      </x:c>
      <x:c r="D8" s="18" t="str">
        <x:v>https://usefulverse.com/tools/text-case-converter/</x:v>
      </x:c>
      <x:c r="E8" s="22" t="n">
        <x:v>36</x:v>
      </x:c>
      <x:c r="F8" s="18" t="str">
        <x:v>Sí</x:v>
      </x:c>
      <x:c r="G8" s="18" t="str">
        <x:v>Change text to uppercase, lowercase, sentence case or title case.</x:v>
      </x:c>
      <x:c r="H8" s="18" t="str">
        <x:v>principal · commit 8dfcc147a3</x:v>
      </x:c>
    </x:row>
    <x:row r="9" ht="48" customHeight="1">
      <x:c r="A9" s="18" t="str">
        <x:v>remove-duplicate-lines</x:v>
      </x:c>
      <x:c r="B9" s="18" t="str">
        <x:v>Remove Duplicate Lines</x:v>
      </x:c>
      <x:c r="C9" s="18" t="str">
        <x:v>usefulverse.com</x:v>
      </x:c>
      <x:c r="D9" s="18" t="str">
        <x:v>https://usefulverse.com/tools/remove-duplicate-lines/</x:v>
      </x:c>
      <x:c r="E9" s="22" t="n">
        <x:v>36</x:v>
      </x:c>
      <x:c r="F9" s="18" t="str">
        <x:v>Sí</x:v>
      </x:c>
      <x:c r="G9" s="18" t="str">
        <x:v>Clean a list by removing repeated lines while keeping the original order.</x:v>
      </x:c>
      <x:c r="H9" s="18" t="str">
        <x:v>principal · commit 8dfcc147a3</x:v>
      </x:c>
    </x:row>
    <x:row r="10" ht="48" customHeight="1">
      <x:c r="A10" s="18" t="str">
        <x:v>json-formatter</x:v>
      </x:c>
      <x:c r="B10" s="18" t="str">
        <x:v>JSON Formatter</x:v>
      </x:c>
      <x:c r="C10" s="18" t="str">
        <x:v>usefulverse.com</x:v>
      </x:c>
      <x:c r="D10" s="18" t="str">
        <x:v>https://usefulverse.com/tools/json-formatter/</x:v>
      </x:c>
      <x:c r="E10" s="22" t="n">
        <x:v>36</x:v>
      </x:c>
      <x:c r="F10" s="18" t="str">
        <x:v>Sí</x:v>
      </x:c>
      <x:c r="G10" s="18" t="str">
        <x:v>Format, minify and validate JSON directly on your device.</x:v>
      </x:c>
      <x:c r="H10" s="18" t="str">
        <x:v>principal · commit 8dfcc147a3</x:v>
      </x:c>
    </x:row>
    <x:row r="11" ht="48" customHeight="1">
      <x:c r="A11" s="18" t="str">
        <x:v>base64-encoder-decoder</x:v>
      </x:c>
      <x:c r="B11" s="18" t="str">
        <x:v>Base64 Encoder &amp; Decoder</x:v>
      </x:c>
      <x:c r="C11" s="18" t="str">
        <x:v>usefulverse.com</x:v>
      </x:c>
      <x:c r="D11" s="18" t="str">
        <x:v>https://usefulverse.com/tools/base64-encoder-decoder/</x:v>
      </x:c>
      <x:c r="E11" s="22" t="n">
        <x:v>36</x:v>
      </x:c>
      <x:c r="F11" s="18" t="str">
        <x:v>Sí</x:v>
      </x:c>
      <x:c r="G11" s="18" t="str">
        <x:v>Encode text to Base64 or decode Base64 back to readable text.</x:v>
      </x:c>
      <x:c r="H11" s="18" t="str">
        <x:v>principal · commit 8dfcc147a3</x:v>
      </x:c>
    </x:row>
    <x:row r="12" ht="48" customHeight="1">
      <x:c r="A12" s="18" t="str">
        <x:v>url-encoder-decoder</x:v>
      </x:c>
      <x:c r="B12" s="18" t="str">
        <x:v>URL Encoder &amp; Decoder</x:v>
      </x:c>
      <x:c r="C12" s="18" t="str">
        <x:v>usefulverse.com</x:v>
      </x:c>
      <x:c r="D12" s="18" t="str">
        <x:v>https://usefulverse.com/tools/url-encoder-decoder/</x:v>
      </x:c>
      <x:c r="E12" s="22" t="n">
        <x:v>36</x:v>
      </x:c>
      <x:c r="F12" s="18" t="str">
        <x:v>Sí</x:v>
      </x:c>
      <x:c r="G12" s="18" t="str">
        <x:v>Encode text for a URL or decode URL-encoded text instantly.</x:v>
      </x:c>
      <x:c r="H12" s="18" t="str">
        <x:v>principal · commit 8dfcc147a3</x:v>
      </x:c>
    </x:row>
    <x:row r="13" ht="48" customHeight="1">
      <x:c r="A13" s="18" t="str">
        <x:v>text-to-slug</x:v>
      </x:c>
      <x:c r="B13" s="18" t="str">
        <x:v>Text to Slug</x:v>
      </x:c>
      <x:c r="C13" s="18" t="str">
        <x:v>usefulverse.com</x:v>
      </x:c>
      <x:c r="D13" s="18" t="str">
        <x:v>https://usefulverse.com/tools/text-to-slug/</x:v>
      </x:c>
      <x:c r="E13" s="22" t="n">
        <x:v>36</x:v>
      </x:c>
      <x:c r="F13" s="18" t="str">
        <x:v>Sí</x:v>
      </x:c>
      <x:c r="G13" s="18" t="str">
        <x:v>Turn a title into a clean, lowercase URL slug ready to use.</x:v>
      </x:c>
      <x:c r="H13" s="18" t="str">
        <x:v>principal · commit 8dfcc147a3</x:v>
      </x:c>
    </x:row>
    <x:row r="14" ht="48" customHeight="1">
      <x:c r="A14" s="18" t="str">
        <x:v>percentage-calculator</x:v>
      </x:c>
      <x:c r="B14" s="18" t="str">
        <x:v>Percentage Calculator</x:v>
      </x:c>
      <x:c r="C14" s="18" t="str">
        <x:v>usefulverse.com</x:v>
      </x:c>
      <x:c r="D14" s="18" t="str">
        <x:v>https://usefulverse.com/tools/percentage-calculator/</x:v>
      </x:c>
      <x:c r="E14" s="22" t="n">
        <x:v>36</x:v>
      </x:c>
      <x:c r="F14" s="18" t="str">
        <x:v>Sí</x:v>
      </x:c>
      <x:c r="G14" s="18" t="str">
        <x:v>Find percentages, percentage changes and the value of a percentage in seconds.</x:v>
      </x:c>
      <x:c r="H14" s="18" t="str">
        <x:v>principal · commit 8dfcc147a3</x:v>
      </x:c>
    </x:row>
    <x:row r="15" ht="48" customHeight="1">
      <x:c r="A15" s="18" t="str">
        <x:v>password-generator</x:v>
      </x:c>
      <x:c r="B15" s="18" t="str">
        <x:v>Password Generator</x:v>
      </x:c>
      <x:c r="C15" s="18" t="str">
        <x:v>usefulverse.com</x:v>
      </x:c>
      <x:c r="D15" s="18" t="str">
        <x:v>https://usefulverse.com/tools/password-generator/</x:v>
      </x:c>
      <x:c r="E15" s="22" t="n">
        <x:v>36</x:v>
      </x:c>
      <x:c r="F15" s="18" t="str">
        <x:v>Sí</x:v>
      </x:c>
      <x:c r="G15" s="18" t="str">
        <x:v>Create a random password locally with the length and characters you choose.</x:v>
      </x:c>
      <x:c r="H15" s="18" t="str">
        <x:v>principal · commit 8dfcc147a3</x:v>
      </x:c>
    </x:row>
    <x:row r="16" ht="48" customHeight="1">
      <x:c r="A16" s="18" t="str">
        <x:v>timestamp-converter</x:v>
      </x:c>
      <x:c r="B16" s="18" t="str">
        <x:v>Timestamp Converter</x:v>
      </x:c>
      <x:c r="C16" s="18" t="str">
        <x:v>usefulverse.com</x:v>
      </x:c>
      <x:c r="D16" s="18" t="str">
        <x:v>https://usefulverse.com/tools/timestamp-converter/</x:v>
      </x:c>
      <x:c r="E16" s="22" t="n">
        <x:v>36</x:v>
      </x:c>
      <x:c r="F16" s="18" t="str">
        <x:v>Sí</x:v>
      </x:c>
      <x:c r="G16" s="18" t="str">
        <x:v>Convert Unix timestamps to dates and dates to seconds or milliseconds.</x:v>
      </x:c>
      <x:c r="H16" s="18" t="str">
        <x:v>principal · commit 8dfcc147a3</x:v>
      </x:c>
    </x:row>
    <x:row r="17" ht="48" customHeight="1">
      <x:c r="A17" s="18" t="str">
        <x:v>html-entity-encoder-decoder</x:v>
      </x:c>
      <x:c r="B17" s="18" t="str">
        <x:v>HTML Entity Encoder &amp; Decoder</x:v>
      </x:c>
      <x:c r="C17" s="18" t="str">
        <x:v>usefulverse.com</x:v>
      </x:c>
      <x:c r="D17" s="18" t="str">
        <x:v>https://usefulverse.com/tools/html-entity-encoder-decoder/</x:v>
      </x:c>
      <x:c r="E17" s="22" t="n">
        <x:v>36</x:v>
      </x:c>
      <x:c r="F17" s="18" t="str">
        <x:v>Sí</x:v>
      </x:c>
      <x:c r="G17" s="18" t="str">
        <x:v>Encode special characters for HTML or decode entities back into readable text.</x:v>
      </x:c>
      <x:c r="H17" s="18" t="str">
        <x:v>principal · commit 8dfcc147a3</x:v>
      </x:c>
    </x:row>
    <x:row r="18" ht="48" customHeight="1">
      <x:c r="A18" s="18" t="str">
        <x:v>csv-to-json</x:v>
      </x:c>
      <x:c r="B18" s="18" t="str">
        <x:v>CSV to JSON Converter</x:v>
      </x:c>
      <x:c r="C18" s="18" t="str">
        <x:v>usefulverse.com</x:v>
      </x:c>
      <x:c r="D18" s="18" t="str">
        <x:v>https://usefulverse.com/tools/csv-to-json/</x:v>
      </x:c>
      <x:c r="E18" s="22" t="n">
        <x:v>36</x:v>
      </x:c>
      <x:c r="F18" s="18" t="str">
        <x:v>Sí</x:v>
      </x:c>
      <x:c r="G18" s="18" t="str">
        <x:v>Convert comma-separated data into clean JSON in your browser.</x:v>
      </x:c>
      <x:c r="H18" s="18" t="str">
        <x:v>principal · commit 8dfcc147a3</x:v>
      </x:c>
    </x:row>
    <x:row r="19" ht="48" customHeight="1">
      <x:c r="A19" s="18" t="str">
        <x:v>json-to-csv</x:v>
      </x:c>
      <x:c r="B19" s="18" t="str">
        <x:v>JSON to CSV Converter</x:v>
      </x:c>
      <x:c r="C19" s="18" t="str">
        <x:v>usefulverse.com</x:v>
      </x:c>
      <x:c r="D19" s="18" t="str">
        <x:v>https://usefulverse.com/tools/json-to-csv/</x:v>
      </x:c>
      <x:c r="E19" s="22" t="n">
        <x:v>36</x:v>
      </x:c>
      <x:c r="F19" s="18" t="str">
        <x:v>Sí</x:v>
      </x:c>
      <x:c r="G19" s="18" t="str">
        <x:v>Turn an array of JSON objects into a CSV file-ready table.</x:v>
      </x:c>
      <x:c r="H19" s="18" t="str">
        <x:v>principal · commit 8dfcc147a3</x:v>
      </x:c>
    </x:row>
    <x:row r="20" ht="48" customHeight="1">
      <x:c r="A20" s="18" t="str">
        <x:v>random-number-generator</x:v>
      </x:c>
      <x:c r="B20" s="18" t="str">
        <x:v>Random Number Generator</x:v>
      </x:c>
      <x:c r="C20" s="18" t="str">
        <x:v>usefulverse.com</x:v>
      </x:c>
      <x:c r="D20" s="18" t="str">
        <x:v>https://usefulverse.com/tools/random-number-generator/</x:v>
      </x:c>
      <x:c r="E20" s="22" t="n">
        <x:v>36</x:v>
      </x:c>
      <x:c r="F20" s="18" t="str">
        <x:v>Sí</x:v>
      </x:c>
      <x:c r="G20" s="18" t="str">
        <x:v>Generate secure random integers or decimal numbers between two limits.</x:v>
      </x:c>
      <x:c r="H20" s="18" t="str">
        <x:v>principal · commit 8dfcc147a3</x:v>
      </x:c>
    </x:row>
    <x:row r="21" ht="48" customHeight="1">
      <x:c r="A21" s="18" t="str">
        <x:v>uuid-generator</x:v>
      </x:c>
      <x:c r="B21" s="18" t="str">
        <x:v>UUID Generator</x:v>
      </x:c>
      <x:c r="C21" s="18" t="str">
        <x:v>usefulverse.com</x:v>
      </x:c>
      <x:c r="D21" s="18" t="str">
        <x:v>https://usefulverse.com/tools/uuid-generator/</x:v>
      </x:c>
      <x:c r="E21" s="22" t="n">
        <x:v>36</x:v>
      </x:c>
      <x:c r="F21" s="18" t="str">
        <x:v>Sí</x:v>
      </x:c>
      <x:c r="G21" s="18" t="str">
        <x:v>Generate one or many version 4 UUIDs locally with a secure random source.</x:v>
      </x:c>
      <x:c r="H21" s="18" t="str">
        <x:v>principal · commit 8dfcc147a3</x:v>
      </x:c>
    </x:row>
    <x:row r="22" ht="48" customHeight="1">
      <x:c r="A22" s="18" t="str">
        <x:v>sha256-hash-generator</x:v>
      </x:c>
      <x:c r="B22" s="18" t="str">
        <x:v>SHA-256 Hash Generator</x:v>
      </x:c>
      <x:c r="C22" s="18" t="str">
        <x:v>usefulverse.com</x:v>
      </x:c>
      <x:c r="D22" s="18" t="str">
        <x:v>https://usefulverse.com/tools/sha256-hash-generator/</x:v>
      </x:c>
      <x:c r="E22" s="22" t="n">
        <x:v>36</x:v>
      </x:c>
      <x:c r="F22" s="18" t="str">
        <x:v>Sí</x:v>
      </x:c>
      <x:c r="G22" s="18" t="str">
        <x:v>Create a SHA-256 hash from text directly in your browser without uploading it.</x:v>
      </x:c>
      <x:c r="H22" s="18" t="str">
        <x:v>principal · commit 8dfcc147a3</x:v>
      </x:c>
    </x:row>
    <x:row r="23" ht="48" customHeight="1">
      <x:c r="A23" s="18" t="str">
        <x:v>regex-tester</x:v>
      </x:c>
      <x:c r="B23" s="18" t="str">
        <x:v>Regex Tester</x:v>
      </x:c>
      <x:c r="C23" s="18" t="str">
        <x:v>usefulverse.com</x:v>
      </x:c>
      <x:c r="D23" s="18" t="str">
        <x:v>https://usefulverse.com/tools/regex-tester/</x:v>
      </x:c>
      <x:c r="E23" s="22" t="n">
        <x:v>36</x:v>
      </x:c>
      <x:c r="F23" s="18" t="str">
        <x:v>Sí</x:v>
      </x:c>
      <x:c r="G23" s="18" t="str">
        <x:v>Test a regular expression against sample text and see matches clearly.</x:v>
      </x:c>
      <x:c r="H23" s="18" t="str">
        <x:v>principal · commit 8dfcc147a3</x:v>
      </x:c>
    </x:row>
    <x:row r="24" ht="48" customHeight="1">
      <x:c r="A24" s="18" t="str">
        <x:v>jwt-decoder</x:v>
      </x:c>
      <x:c r="B24" s="18" t="str">
        <x:v>JWT Decoder</x:v>
      </x:c>
      <x:c r="C24" s="18" t="str">
        <x:v>usefulverse.com</x:v>
      </x:c>
      <x:c r="D24" s="18" t="str">
        <x:v>https://usefulverse.com/tools/jwt-decoder/</x:v>
      </x:c>
      <x:c r="E24" s="22" t="n">
        <x:v>36</x:v>
      </x:c>
      <x:c r="F24" s="18" t="str">
        <x:v>Sí</x:v>
      </x:c>
      <x:c r="G24" s="18" t="str">
        <x:v>Read the header and payload of a JSON Web Token locally, without verifying it.</x:v>
      </x:c>
      <x:c r="H24" s="18" t="str">
        <x:v>principal · commit 8dfcc147a3</x:v>
      </x:c>
    </x:row>
    <x:row r="25" ht="48" customHeight="1">
      <x:c r="A25" s="18" t="str">
        <x:v>color-converter</x:v>
      </x:c>
      <x:c r="B25" s="18" t="str">
        <x:v>Color Converter</x:v>
      </x:c>
      <x:c r="C25" s="18" t="str">
        <x:v>usefulverse.com</x:v>
      </x:c>
      <x:c r="D25" s="18" t="str">
        <x:v>https://usefulverse.com/tools/color-converter/</x:v>
      </x:c>
      <x:c r="E25" s="22" t="n">
        <x:v>36</x:v>
      </x:c>
      <x:c r="F25" s="18" t="str">
        <x:v>Sí</x:v>
      </x:c>
      <x:c r="G25" s="18" t="str">
        <x:v>Convert colors between HEX, RGB and HSL and preview the result instantly.</x:v>
      </x:c>
      <x:c r="H25" s="18" t="str">
        <x:v>principal · commit 8dfcc147a3</x:v>
      </x:c>
    </x:row>
    <x:row r="26" ht="48" customHeight="1">
      <x:c r="A26" s="18" t="str">
        <x:v>url-parser</x:v>
      </x:c>
      <x:c r="B26" s="18" t="str">
        <x:v>URL Parser</x:v>
      </x:c>
      <x:c r="C26" s="18" t="str">
        <x:v>usefulverse.com</x:v>
      </x:c>
      <x:c r="D26" s="18" t="str">
        <x:v>https://usefulverse.com/tools/url-parser/</x:v>
      </x:c>
      <x:c r="E26" s="22" t="n">
        <x:v>36</x:v>
      </x:c>
      <x:c r="F26" s="18" t="str">
        <x:v>Sí</x:v>
      </x:c>
      <x:c r="G26" s="18" t="str">
        <x:v>Break a URL into its protocol, host, path, query parameters and hash.</x:v>
      </x:c>
      <x:c r="H26" s="18" t="str">
        <x:v>principal · commit 8dfcc147a3</x:v>
      </x:c>
    </x:row>
    <x:row r="27" ht="48" customHeight="1">
      <x:c r="A27" s="18" t="str">
        <x:v>roman-numeral-converter</x:v>
      </x:c>
      <x:c r="B27" s="18" t="str">
        <x:v>Roman Numeral Converter</x:v>
      </x:c>
      <x:c r="C27" s="18" t="str">
        <x:v>usefulverse.com</x:v>
      </x:c>
      <x:c r="D27" s="18" t="str">
        <x:v>https://usefulverse.com/tools/roman-numeral-converter/</x:v>
      </x:c>
      <x:c r="E27" s="22" t="n">
        <x:v>36</x:v>
      </x:c>
      <x:c r="F27" s="18" t="str">
        <x:v>Sí</x:v>
      </x:c>
      <x:c r="G27" s="18" t="str">
        <x:v>Convert numbers to Roman numerals and Roman numerals back to numbers instantly.</x:v>
      </x:c>
      <x:c r="H27" s="18" t="str">
        <x:v>principal · commit 8dfcc147a3</x:v>
      </x:c>
    </x:row>
    <x:row r="28" ht="48" customHeight="1">
      <x:c r="A28" s="18" t="str">
        <x:v>binary-converter</x:v>
      </x:c>
      <x:c r="B28" s="18" t="str">
        <x:v>Binary Converter</x:v>
      </x:c>
      <x:c r="C28" s="18" t="str">
        <x:v>usefulverse.com</x:v>
      </x:c>
      <x:c r="D28" s="18" t="str">
        <x:v>https://usefulverse.com/tools/binary-converter/</x:v>
      </x:c>
      <x:c r="E28" s="22" t="n">
        <x:v>36</x:v>
      </x:c>
      <x:c r="F28" s="18" t="str">
        <x:v>Sí</x:v>
      </x:c>
      <x:c r="G28" s="18" t="str">
        <x:v>Convert integers between binary, decimal, hexadecimal and octal formats.</x:v>
      </x:c>
      <x:c r="H28" s="18" t="str">
        <x:v>principal · commit 8dfcc147a3</x:v>
      </x:c>
    </x:row>
    <x:row r="29" ht="48" customHeight="1">
      <x:c r="A29" s="18" t="str">
        <x:v>prime-number-checker</x:v>
      </x:c>
      <x:c r="B29" s="18" t="str">
        <x:v>Prime Number Checker</x:v>
      </x:c>
      <x:c r="C29" s="18" t="str">
        <x:v>usefulverse.com</x:v>
      </x:c>
      <x:c r="D29" s="18" t="str">
        <x:v>https://usefulverse.com/tools/prime-number-checker/</x:v>
      </x:c>
      <x:c r="E29" s="22" t="n">
        <x:v>36</x:v>
      </x:c>
      <x:c r="F29" s="18" t="str">
        <x:v>Sí</x:v>
      </x:c>
      <x:c r="G29" s="18" t="str">
        <x:v>Check whether an integer is prime with a clear local result.</x:v>
      </x:c>
      <x:c r="H29" s="18" t="str">
        <x:v>principal · commit 8dfcc147a3</x:v>
      </x:c>
    </x:row>
    <x:row r="30" ht="48" customHeight="1">
      <x:c r="A30" s="18" t="str">
        <x:v>average-calculator</x:v>
      </x:c>
      <x:c r="B30" s="18" t="str">
        <x:v>Average Calculator</x:v>
      </x:c>
      <x:c r="C30" s="18" t="str">
        <x:v>usefulverse.com</x:v>
      </x:c>
      <x:c r="D30" s="18" t="str">
        <x:v>https://usefulverse.com/tools/average-calculator/</x:v>
      </x:c>
      <x:c r="E30" s="22" t="n">
        <x:v>36</x:v>
      </x:c>
      <x:c r="F30" s="18" t="str">
        <x:v>Sí</x:v>
      </x:c>
      <x:c r="G30" s="18" t="str">
        <x:v>Calculate the mean, sum, count, minimum and maximum of a list of numbers.</x:v>
      </x:c>
      <x:c r="H30" s="18" t="str">
        <x:v>principal · commit 8dfcc147a3</x:v>
      </x:c>
    </x:row>
    <x:row r="31" ht="48" customHeight="1">
      <x:c r="A31" s="18" t="str">
        <x:v>ratio-proportion-calculator</x:v>
      </x:c>
      <x:c r="B31" s="18" t="str">
        <x:v>Ratio &amp; Proportion Calculator</x:v>
      </x:c>
      <x:c r="C31" s="18" t="str">
        <x:v>usefulverse.com</x:v>
      </x:c>
      <x:c r="D31" s="18" t="str">
        <x:v>https://usefulverse.com/tools/ratio-proportion-calculator/</x:v>
      </x:c>
      <x:c r="E31" s="22" t="n">
        <x:v>36</x:v>
      </x:c>
      <x:c r="F31" s="18" t="str">
        <x:v>Sí</x:v>
      </x:c>
      <x:c r="G31" s="18" t="str">
        <x:v>Solve a missing value in a ratio and simplify ratios in seconds.</x:v>
      </x:c>
      <x:c r="H31" s="18" t="str">
        <x:v>principal · commit 8dfcc147a3</x:v>
      </x:c>
    </x:row>
    <x:row r="32" ht="48" customHeight="1">
      <x:c r="A32" s="18" t="str">
        <x:v>time-duration-calculator</x:v>
      </x:c>
      <x:c r="B32" s="18" t="str">
        <x:v>Time Duration Calculator</x:v>
      </x:c>
      <x:c r="C32" s="18" t="str">
        <x:v>usefulverse.com</x:v>
      </x:c>
      <x:c r="D32" s="18" t="str">
        <x:v>https://usefulverse.com/tools/time-duration-calculator/</x:v>
      </x:c>
      <x:c r="E32" s="22" t="n">
        <x:v>36</x:v>
      </x:c>
      <x:c r="F32" s="18" t="str">
        <x:v>Sí</x:v>
      </x:c>
      <x:c r="G32" s="18" t="str">
        <x:v>Find the exact duration between two dates and times in days, hours and minutes.</x:v>
      </x:c>
      <x:c r="H32" s="18" t="str">
        <x:v>principal · commit 8dfcc147a3</x:v>
      </x:c>
    </x:row>
    <x:row r="33" ht="48" customHeight="1">
      <x:c r="A33" s="18" t="str">
        <x:v>number-to-words-converter</x:v>
      </x:c>
      <x:c r="B33" s="18" t="str">
        <x:v>Number to Words Converter</x:v>
      </x:c>
      <x:c r="C33" s="18" t="str">
        <x:v>usefulverse.com</x:v>
      </x:c>
      <x:c r="D33" s="18" t="str">
        <x:v>https://usefulverse.com/tools/number-to-words-converter/</x:v>
      </x:c>
      <x:c r="E33" s="22" t="n">
        <x:v>36</x:v>
      </x:c>
      <x:c r="F33" s="18" t="str">
        <x:v>Sí</x:v>
      </x:c>
      <x:c r="G33" s="18" t="str">
        <x:v>Convert whole numbers into clear English words directly in your browser.</x:v>
      </x:c>
      <x:c r="H33" s="18" t="str">
        <x:v>principal · commit 8dfcc147a3</x:v>
      </x:c>
    </x:row>
    <x:row r="34" ht="48" customHeight="1">
      <x:c r="A34" s="18" t="str">
        <x:v>remove-line-breaks</x:v>
      </x:c>
      <x:c r="B34" s="18" t="str">
        <x:v>Remove Line Breaks</x:v>
      </x:c>
      <x:c r="C34" s="18" t="str">
        <x:v>usefulverse.com</x:v>
      </x:c>
      <x:c r="D34" s="18" t="str">
        <x:v>https://usefulverse.com/tools/remove-line-breaks/</x:v>
      </x:c>
      <x:c r="E34" s="22" t="n">
        <x:v>36</x:v>
      </x:c>
      <x:c r="F34" s="18" t="str">
        <x:v>Sí</x:v>
      </x:c>
      <x:c r="G34" s="18" t="str">
        <x:v>Join text lines with spaces or remove line breaks instantly in your browser.</x:v>
      </x:c>
      <x:c r="H34" s="18" t="str">
        <x:v>principal · commit 8dfcc147a3</x:v>
      </x:c>
    </x:row>
    <x:row r="35" ht="48" customHeight="1">
      <x:c r="A35" s="18" t="str">
        <x:v>text-diff-checker</x:v>
      </x:c>
      <x:c r="B35" s="18" t="str">
        <x:v>Text Diff Checker</x:v>
      </x:c>
      <x:c r="C35" s="18" t="str">
        <x:v>usefulverse.com</x:v>
      </x:c>
      <x:c r="D35" s="18" t="str">
        <x:v>https://usefulverse.com/tools/text-diff-checker/</x:v>
      </x:c>
      <x:c r="E35" s="22" t="n">
        <x:v>36</x:v>
      </x:c>
      <x:c r="F35" s="18" t="str">
        <x:v>Sí</x:v>
      </x:c>
      <x:c r="G35" s="18" t="str">
        <x:v>Compare two pieces of text line by line and see what changed.</x:v>
      </x:c>
      <x:c r="H35" s="18" t="str">
        <x:v>principal · commit 8dfcc147a3</x:v>
      </x:c>
    </x:row>
    <x:row r="36" ht="48" customHeight="1">
      <x:c r="A36" s="18" t="str">
        <x:v>unit-converter</x:v>
      </x:c>
      <x:c r="B36" s="18" t="str">
        <x:v>Unit Converter</x:v>
      </x:c>
      <x:c r="C36" s="18" t="str">
        <x:v>usefulverse.com</x:v>
      </x:c>
      <x:c r="D36" s="18" t="str">
        <x:v>https://usefulverse.com/tools/unit-converter/</x:v>
      </x:c>
      <x:c r="E36" s="22" t="n">
        <x:v>36</x:v>
      </x:c>
      <x:c r="F36" s="18" t="str">
        <x:v>Sí</x:v>
      </x:c>
      <x:c r="G36" s="18" t="str">
        <x:v>Convert common length, weight, temperature and volume units in seconds.</x:v>
      </x:c>
      <x:c r="H36" s="18" t="str">
        <x:v>principal · commit 8dfcc147a3</x:v>
      </x:c>
    </x:row>
    <x:row r="37" ht="48" customHeight="1">
      <x:c r="A37" s="18" t="str">
        <x:v>date-calculator</x:v>
      </x:c>
      <x:c r="B37" s="18" t="str">
        <x:v>Date Calculator</x:v>
      </x:c>
      <x:c r="C37" s="18" t="str">
        <x:v>usefulverse.com</x:v>
      </x:c>
      <x:c r="D37" s="18" t="str">
        <x:v>https://usefulverse.com/tools/date-calculator/</x:v>
      </x:c>
      <x:c r="E37" s="22" t="n">
        <x:v>36</x:v>
      </x:c>
      <x:c r="F37" s="18" t="str">
        <x:v>Sí</x:v>
      </x:c>
      <x:c r="G37" s="18" t="str">
        <x:v>Calculate days between dates or add and subtract days from a date.</x:v>
      </x:c>
      <x:c r="H37" s="18" t="str">
        <x:v>principal · commit 8dfcc147a3</x:v>
      </x:c>
    </x:row>
    <x:row r="38" ht="48" customHeight="1">
      <x:c r="A38" s="18" t="str">
        <x:v>qr-code-generator</x:v>
      </x:c>
      <x:c r="B38" s="18" t="str">
        <x:v>QR Code Generator</x:v>
      </x:c>
      <x:c r="C38" s="18" t="str">
        <x:v>usefulverse.com</x:v>
      </x:c>
      <x:c r="D38" s="18" t="str">
        <x:v>https://usefulverse.com/tools/qr-code-generator/</x:v>
      </x:c>
      <x:c r="E38" s="22" t="n">
        <x:v>36</x:v>
      </x:c>
      <x:c r="F38" s="18" t="str">
        <x:v>Sí</x:v>
      </x:c>
      <x:c r="G38" s="18" t="str">
        <x:v>Create a downloadable QR code from a link or short text directly in your browser.</x:v>
      </x:c>
      <x:c r="H38" s="18" t="str">
        <x:v>principal · commit 8dfcc147a3</x:v>
      </x:c>
    </x:row>
    <x:row r="39" ht="48" customHeight="1">
      <x:c r="A39" s="18" t="str">
        <x:v>time-zone-converter</x:v>
      </x:c>
      <x:c r="B39" s="18" t="str">
        <x:v>Time Zone Converter</x:v>
      </x:c>
      <x:c r="C39" s="18" t="str">
        <x:v>usefulverse.com</x:v>
      </x:c>
      <x:c r="D39" s="18" t="str">
        <x:v>https://usefulverse.com/tools/time-zone-converter/</x:v>
      </x:c>
      <x:c r="E39" s="22" t="n">
        <x:v>36</x:v>
      </x:c>
      <x:c r="F39" s="18" t="str">
        <x:v>Sí</x:v>
      </x:c>
      <x:c r="G39" s="18" t="str">
        <x:v>Convert a date and time between common time zones with daylight saving support.</x:v>
      </x:c>
      <x:c r="H39" s="18" t="str">
        <x:v>principal · commit 8dfcc147a3</x:v>
      </x:c>
    </x:row>
    <x:row r="40" ht="48" customHeight="1">
      <x:c r="A40" s="18" t="str">
        <x:v>xml-formatter</x:v>
      </x:c>
      <x:c r="B40" s="18" t="str">
        <x:v>XML Formatter &amp; Validator</x:v>
      </x:c>
      <x:c r="C40" s="18" t="str">
        <x:v>usefulverse.com</x:v>
      </x:c>
      <x:c r="D40" s="18" t="str">
        <x:v>https://usefulverse.com/tools/xml-formatter/</x:v>
      </x:c>
      <x:c r="E40" s="22" t="n">
        <x:v>36</x:v>
      </x:c>
      <x:c r="F40" s="18" t="str">
        <x:v>Sí</x:v>
      </x:c>
      <x:c r="G40" s="18" t="str">
        <x:v>Format XML with readable indentation and check that its tags and structure are valid.</x:v>
      </x:c>
      <x:c r="H40" s="18" t="str">
        <x:v>principal · commit 8dfcc147a3</x:v>
      </x:c>
    </x:row>
    <x:row r="41" ht="48" customHeight="1">
      <x:c r="A41" s="18" t="str">
        <x:v>color-contrast-checker</x:v>
      </x:c>
      <x:c r="B41" s="18" t="str">
        <x:v>Color Contrast Checker</x:v>
      </x:c>
      <x:c r="C41" s="18" t="str">
        <x:v>usefulverse.com</x:v>
      </x:c>
      <x:c r="D41" s="18" t="str">
        <x:v>https://usefulverse.com/tools/color-contrast-checker/</x:v>
      </x:c>
      <x:c r="E41" s="22" t="n">
        <x:v>36</x:v>
      </x:c>
      <x:c r="F41" s="18" t="str">
        <x:v>Sí</x:v>
      </x:c>
      <x:c r="G41" s="18" t="str">
        <x:v>Check text contrast against WCAG AA and AAA levels using two colors.</x:v>
      </x:c>
      <x:c r="H41" s="18" t="str">
        <x:v>principal · commit 8dfcc147a3</x:v>
      </x:c>
    </x:row>
    <x:row r="42" ht="48" customHeight="1">
      <x:c r="A42" s="18" t="str">
        <x:v>tip-calculator</x:v>
      </x:c>
      <x:c r="B42" s="18" t="str">
        <x:v>Tip Calculator &amp; Bill Splitter</x:v>
      </x:c>
      <x:c r="C42" s="18" t="str">
        <x:v>usefulverse.com</x:v>
      </x:c>
      <x:c r="D42" s="18" t="str">
        <x:v>https://usefulverse.com/tools/tip-calculator/</x:v>
      </x:c>
      <x:c r="E42" s="22" t="n">
        <x:v>36</x:v>
      </x:c>
      <x:c r="F42" s="18" t="str">
        <x:v>Sí</x:v>
      </x:c>
      <x:c r="G42" s="18" t="str">
        <x:v>Calculate a tip and split the total bill evenly between people.</x:v>
      </x:c>
      <x:c r="H42" s="18" t="str">
        <x:v>principal · commit 8dfcc147a3</x:v>
      </x:c>
    </x:row>
    <x:row r="43" ht="48" customHeight="1">
      <x:c r="A43" s="18" t="str">
        <x:v>gpa-calculator</x:v>
      </x:c>
      <x:c r="B43" s="18" t="str">
        <x:v>GPA Calculator</x:v>
      </x:c>
      <x:c r="C43" s="18" t="str">
        <x:v>usefulverse.com</x:v>
      </x:c>
      <x:c r="D43" s="18" t="str">
        <x:v>https://usefulverse.com/tools/gpa-calculator/</x:v>
      </x:c>
      <x:c r="E43" s="22" t="n">
        <x:v>36</x:v>
      </x:c>
      <x:c r="F43" s="18" t="str">
        <x:v>Sí</x:v>
      </x:c>
      <x:c r="G43" s="18" t="str">
        <x:v>Calculate a credit-weighted GPA on a common 4.0 letter-grade scale.</x:v>
      </x:c>
      <x:c r="H43" s="18" t="str">
        <x:v>principal · commit 8dfcc147a3</x:v>
      </x:c>
    </x:row>
    <x:row r="44" ht="48" customHeight="1">
      <x:c r="A44" s="18" t="str">
        <x:v>file-checksum</x:v>
      </x:c>
      <x:c r="B44" s="18" t="str">
        <x:v>File Checksum Calculator</x:v>
      </x:c>
      <x:c r="C44" s="18" t="str">
        <x:v>usefulverse.com</x:v>
      </x:c>
      <x:c r="D44" s="18" t="str">
        <x:v>https://usefulverse.com/tools/file-checksum/</x:v>
      </x:c>
      <x:c r="E44" s="22" t="n">
        <x:v>36</x:v>
      </x:c>
      <x:c r="F44" s="18" t="str">
        <x:v>Sí</x:v>
      </x:c>
      <x:c r="G44" s="18" t="str">
        <x:v>Create a SHA-256 checksum for a file in your browser and compare it with a known hash.</x:v>
      </x:c>
      <x:c r="H44" s="18" t="str">
        <x:v>principal · commit 8dfcc147a3</x:v>
      </x:c>
    </x:row>
    <x:row r="45" ht="48" customHeight="1">
      <x:c r="A45" s="18" t="str">
        <x:v>image-resizer-compressor</x:v>
      </x:c>
      <x:c r="B45" s="18" t="str">
        <x:v>Image Compressor &amp; Resizer</x:v>
      </x:c>
      <x:c r="C45" s="18" t="str">
        <x:v>usefulverse.com</x:v>
      </x:c>
      <x:c r="D45" s="18" t="str">
        <x:v>https://usefulverse.com/tools/image-resizer-compressor/</x:v>
      </x:c>
      <x:c r="E45" s="22" t="n">
        <x:v>36</x:v>
      </x:c>
      <x:c r="F45" s="18" t="str">
        <x:v>Sí</x:v>
      </x:c>
      <x:c r="G45" s="18" t="str">
        <x:v>Resize JPG, PNG, WebP, HEIC and other common images, then save a local copy as JPG, PNG or WebP.</x:v>
      </x:c>
      <x:c r="H45" s="18" t="str">
        <x:v>principal · commit 8dfcc147a3</x:v>
      </x:c>
    </x:row>
    <x:row r="46" ht="48" customHeight="1">
      <x:c r="A46" s="18" t="str">
        <x:v>pdf-tools</x:v>
      </x:c>
      <x:c r="B46" s="18" t="str">
        <x:v>PDF Merge, Split &amp; Compressor</x:v>
      </x:c>
      <x:c r="C46" s="18" t="str">
        <x:v>usefulverse.com</x:v>
      </x:c>
      <x:c r="D46" s="18" t="str">
        <x:v>https://usefulverse.com/tools/pdf-tools/</x:v>
      </x:c>
      <x:c r="E46" s="22" t="n">
        <x:v>36</x:v>
      </x:c>
      <x:c r="F46" s="18" t="str">
        <x:v>Sí</x:v>
      </x:c>
      <x:c r="G46" s="18" t="str">
        <x:v>Merge or split PDFs, optimize structure while keeping text, or make a stronger image-based copy locally.</x:v>
      </x:c>
      <x:c r="H46" s="18" t="str">
        <x:v>principal · commit 8dfcc147a3</x:v>
      </x:c>
    </x:row>
    <x:row r="47" ht="48" customHeight="1">
      <x:c r="A47" s="18" t="str">
        <x:v>pdf-protect-unlock</x:v>
      </x:c>
      <x:c r="B47" s="18" t="str">
        <x:v>Protect or Unlock a PDF with a Password</x:v>
      </x:c>
      <x:c r="C47" s="18" t="str">
        <x:v>usefulverse.com</x:v>
      </x:c>
      <x:c r="D47" s="18" t="str">
        <x:v>https://usefulverse.com/tools/pdf-protect-unlock/</x:v>
      </x:c>
      <x:c r="E47" s="22" t="n">
        <x:v>36</x:v>
      </x:c>
      <x:c r="F47" s="18" t="str">
        <x:v>Sí</x:v>
      </x:c>
      <x:c r="G47" s="18" t="str">
        <x:v>Encrypt a PDF with separate passwords, or remove its password when you already know it. Runs locally with AES-256.</x:v>
      </x:c>
      <x:c r="H47" s="18" t="str">
        <x:v>principal · commit 8dfcc147a3</x:v>
      </x:c>
    </x:row>
    <x:row r="48" ht="48" customHeight="1">
      <x:c r="A48" s="18" t="str">
        <x:v>pdf-repair</x:v>
      </x:c>
      <x:c r="B48" s="18" t="str">
        <x:v>Repair a Damaged PDF File</x:v>
      </x:c>
      <x:c r="C48" s="18" t="str">
        <x:v>usefulverse.com</x:v>
      </x:c>
      <x:c r="D48" s="18" t="str">
        <x:v>https://usefulverse.com/tools/pdf-repair/</x:v>
      </x:c>
      <x:c r="E48" s="22" t="n">
        <x:v>36</x:v>
      </x:c>
      <x:c r="F48" s="18" t="str">
        <x:v>Sí</x:v>
      </x:c>
      <x:c r="G48" s="18" t="str">
        <x:v>Try to rebuild a damaged PDF locally and check that the new copy can be parsed. Recovery is best effort, not guaranteed.</x:v>
      </x:c>
      <x:c r="H48" s="18" t="str">
        <x:v>principal · commit 8dfcc147a3</x:v>
      </x:c>
    </x:row>
    <x:row r="49" ht="48" customHeight="1">
      <x:c r="A49" s="18" t="str">
        <x:v>pdf-crop</x:v>
      </x:c>
      <x:c r="B49" s="18" t="str">
        <x:v>Crop PDF Pages Online</x:v>
      </x:c>
      <x:c r="C49" s="18" t="str">
        <x:v>usefulverse.com</x:v>
      </x:c>
      <x:c r="D49" s="18" t="str">
        <x:v>https://usefulverse.com/tools/pdf-crop/</x:v>
      </x:c>
      <x:c r="E49" s="22" t="n">
        <x:v>36</x:v>
      </x:c>
      <x:c r="F49" s="18" t="str">
        <x:v>Sí</x:v>
      </x:c>
      <x:c r="G49" s="18" t="str">
        <x:v>Crop PDF page margins locally with millimeter controls. This changes the visible page area but does not securely erase hidden content.</x:v>
      </x:c>
      <x:c r="H49" s="18" t="str">
        <x:v>principal · commit 8dfcc147a3</x:v>
      </x:c>
    </x:row>
    <x:row r="50" ht="48" customHeight="1">
      <x:c r="A50" s="18" t="str">
        <x:v>pdf-redact</x:v>
      </x:c>
      <x:c r="B50" s="18" t="str">
        <x:v>Permanently Redact PDF Online</x:v>
      </x:c>
      <x:c r="C50" s="18" t="str">
        <x:v>usefulverse.com</x:v>
      </x:c>
      <x:c r="D50" s="18" t="str">
        <x:v>https://usefulverse.com/tools/pdf-redact/</x:v>
      </x:c>
      <x:c r="E50" s="22" t="n">
        <x:v>36</x:v>
      </x:c>
      <x:c r="F50" s="18" t="str">
        <x:v>Sí</x:v>
      </x:c>
      <x:c r="G50" s="18" t="str">
        <x:v>Permanently remove sensitive PDF content in your browser by rebuilding pages with opaque black areas.</x:v>
      </x:c>
      <x:c r="H50" s="18" t="str">
        <x:v>principal · commit 8dfcc147a3</x:v>
      </x:c>
    </x:row>
    <x:row r="51" ht="48" customHeight="1">
      <x:c r="A51" s="18" t="str">
        <x:v>pdf-to-pdfa</x:v>
      </x:c>
      <x:c r="B51" s="18" t="str">
        <x:v>Convert PDF to PDF/A-1b as an Image Copy</x:v>
      </x:c>
      <x:c r="C51" s="18" t="str">
        <x:v>usefulverse.com</x:v>
      </x:c>
      <x:c r="D51" s="18" t="str">
        <x:v>https://usefulverse.com/tools/pdf-to-pdfa/</x:v>
      </x:c>
      <x:c r="E51" s="22" t="n">
        <x:v>36</x:v>
      </x:c>
      <x:c r="F51" s="18" t="str">
        <x:v>Sí</x:v>
      </x:c>
      <x:c r="G51" s="18" t="str">
        <x:v>Create a browser-local PDF/A-1b archival copy by rebuilding each page as an image. Text and interactive content are not retained.</x:v>
      </x:c>
      <x:c r="H51" s="18" t="str">
        <x:v>principal · commit 8dfcc147a3</x:v>
      </x:c>
    </x:row>
    <x:row r="52" ht="48" customHeight="1">
      <x:c r="A52" s="18" t="str">
        <x:v>video-compressor</x:v>
      </x:c>
      <x:c r="B52" s="18" t="str">
        <x:v>Video Compressor</x:v>
      </x:c>
      <x:c r="C52" s="18" t="str">
        <x:v>usefulverse.com</x:v>
      </x:c>
      <x:c r="D52" s="18" t="str">
        <x:v>https://usefulverse.com/tools/video-compressor/</x:v>
      </x:c>
      <x:c r="E52" s="22" t="n">
        <x:v>36</x:v>
      </x:c>
      <x:c r="F52" s="18" t="str">
        <x:v>Sí</x:v>
      </x:c>
      <x:c r="G52" s="18" t="str">
        <x:v>Compress video to MP4 or WebM in your browser, adjust quality and resolution, and keep the original untouched.</x:v>
      </x:c>
      <x:c r="H52" s="18" t="str">
        <x:v>principal · commit 8dfcc147a3</x:v>
      </x:c>
    </x:row>
    <x:row r="53" ht="48" customHeight="1">
      <x:c r="A53" s="18" t="str">
        <x:v>audio-compressor</x:v>
      </x:c>
      <x:c r="B53" s="18" t="str">
        <x:v>Audio Compressor</x:v>
      </x:c>
      <x:c r="C53" s="18" t="str">
        <x:v>usefulverse.com</x:v>
      </x:c>
      <x:c r="D53" s="18" t="str">
        <x:v>https://usefulverse.com/tools/audio-compressor/</x:v>
      </x:c>
      <x:c r="E53" s="22" t="n">
        <x:v>36</x:v>
      </x:c>
      <x:c r="F53" s="18" t="str">
        <x:v>Sí</x:v>
      </x:c>
      <x:c r="G53" s="18" t="str">
        <x:v>Compress MP3, M4A or OGG audio in your browser. Choose a smaller file or clearer sound; your original stays on your device.</x:v>
      </x:c>
      <x:c r="H53" s="18" t="str">
        <x:v>principal · commit 8dfcc147a3</x:v>
      </x:c>
    </x:row>
    <x:row r="54" ht="48" customHeight="1">
      <x:c r="A54" s="18" t="str">
        <x:v>media-transcriber</x:v>
      </x:c>
      <x:c r="B54" s="18" t="str">
        <x:v>Audio &amp; Video to Text Transcriber</x:v>
      </x:c>
      <x:c r="C54" s="18" t="str">
        <x:v>usefulverse.com</x:v>
      </x:c>
      <x:c r="D54" s="18" t="str">
        <x:v>https://usefulverse.com/tools/media-transcriber/</x:v>
      </x:c>
      <x:c r="E54" s="22" t="n">
        <x:v>36</x:v>
      </x:c>
      <x:c r="F54" s="18" t="str">
        <x:v>Sí</x:v>
      </x:c>
      <x:c r="G54" s="18" t="str">
        <x:v>Transcribe speech from an audio or video file to text in your browser. The media stays on your device; no server upload.</x:v>
      </x:c>
      <x:c r="H54" s="18" t="str">
        <x:v>principal · commit 8dfcc147a3</x:v>
      </x:c>
    </x:row>
    <x:row r="55" ht="48" customHeight="1">
      <x:c r="A55" s="18" t="str">
        <x:v>csv-viewer</x:v>
      </x:c>
      <x:c r="B55" s="18" t="str">
        <x:v>CSV Viewer</x:v>
      </x:c>
      <x:c r="C55" s="18" t="str">
        <x:v>usefulverse.com</x:v>
      </x:c>
      <x:c r="D55" s="18" t="str">
        <x:v>https://usefulverse.com/tools/csv-viewer/</x:v>
      </x:c>
      <x:c r="E55" s="22" t="n">
        <x:v>36</x:v>
      </x:c>
      <x:c r="F55" s="18" t="str">
        <x:v>Sí</x:v>
      </x:c>
      <x:c r="G55" s="18" t="str">
        <x:v>Open a CSV file as a searchable table in your browser without sending it anywhere.</x:v>
      </x:c>
      <x:c r="H55" s="18" t="str">
        <x:v>principal · commit 8dfcc147a3</x:v>
      </x:c>
    </x:row>
    <x:row r="56" ht="48" customHeight="1">
      <x:c r="A56" s="18" t="str">
        <x:v>qr-code-reader</x:v>
      </x:c>
      <x:c r="B56" s="18" t="str">
        <x:v>QR Code Reader</x:v>
      </x:c>
      <x:c r="C56" s="18" t="str">
        <x:v>usefulverse.com</x:v>
      </x:c>
      <x:c r="D56" s="18" t="str">
        <x:v>https://usefulverse.com/tools/qr-code-reader/</x:v>
      </x:c>
      <x:c r="E56" s="22" t="n">
        <x:v>36</x:v>
      </x:c>
      <x:c r="F56" s="18" t="str">
        <x:v>Sí</x:v>
      </x:c>
      <x:c r="G56" s="18" t="str">
        <x:v>Read a QR code from an image or your camera, right in your browser.</x:v>
      </x:c>
      <x:c r="H56" s="18" t="str">
        <x:v>principal · commit 8dfcc147a3</x:v>
      </x:c>
    </x:row>
    <x:row r="57" ht="48" customHeight="1">
      <x:c r="A57" s="18" t="str">
        <x:v>age-calculator</x:v>
      </x:c>
      <x:c r="B57" s="18" t="str">
        <x:v>Age Calculator</x:v>
      </x:c>
      <x:c r="C57" s="18" t="str">
        <x:v>usefulverse.com</x:v>
      </x:c>
      <x:c r="D57" s="18" t="str">
        <x:v>https://usefulverse.com/tools/age-calculator/</x:v>
      </x:c>
      <x:c r="E57" s="22" t="n">
        <x:v>36</x:v>
      </x:c>
      <x:c r="F57" s="18" t="str">
        <x:v>Sí</x:v>
      </x:c>
      <x:c r="G57" s="18" t="str">
        <x:v>Calculate your exact age in years, months and days, or find how old you were on a past date.</x:v>
      </x:c>
      <x:c r="H57" s="18" t="str">
        <x:v>principal · commit 8dfcc147a3</x:v>
      </x:c>
    </x:row>
    <x:row r="58" ht="48" customHeight="1">
      <x:c r="A58" s="18" t="str">
        <x:v>business-days-calculator</x:v>
      </x:c>
      <x:c r="B58" s="18" t="str">
        <x:v>Business Days Calculator</x:v>
      </x:c>
      <x:c r="C58" s="18" t="str">
        <x:v>usefulverse.com</x:v>
      </x:c>
      <x:c r="D58" s="18" t="str">
        <x:v>https://usefulverse.com/tools/business-days-calculator/</x:v>
      </x:c>
      <x:c r="E58" s="22" t="n">
        <x:v>36</x:v>
      </x:c>
      <x:c r="F58" s="18" t="str">
        <x:v>Sí</x:v>
      </x:c>
      <x:c r="G58" s="18" t="str">
        <x:v>Count working days between dates or add and subtract workdays with custom weekends and holidays.</x:v>
      </x:c>
      <x:c r="H58" s="18" t="str">
        <x:v>principal · commit 8dfcc147a3</x:v>
      </x:c>
    </x:row>
    <x:row r="59" ht="48" customHeight="1">
      <x:c r="A59" s="18" t="str">
        <x:v>office-file-compressor</x:v>
      </x:c>
      <x:c r="B59" s="18" t="str">
        <x:v>Word, Excel &amp; PowerPoint File Compressor</x:v>
      </x:c>
      <x:c r="C59" s="18" t="str">
        <x:v>usefulverse.com</x:v>
      </x:c>
      <x:c r="D59" s="18" t="str">
        <x:v>https://usefulverse.com/tools/office-file-compressor/</x:v>
      </x:c>
      <x:c r="E59" s="22" t="n">
        <x:v>36</x:v>
      </x:c>
      <x:c r="F59" s="18" t="str">
        <x:v>Sí</x:v>
      </x:c>
      <x:c r="G59" s="18" t="str">
        <x:v>Try to reduce DOCX, XLSX and PPTX file size locally without changing document contents.</x:v>
      </x:c>
      <x:c r="H59" s="18" t="str">
        <x:v>principal · commit 8dfcc147a3</x:v>
      </x:c>
    </x:row>
    <x:row r="60" ht="48" customHeight="1">
      <x:c r="A60" s="18" t="str">
        <x:v>image-to-pdf</x:v>
      </x:c>
      <x:c r="B60" s="18" t="str">
        <x:v>Image to PDF Converter</x:v>
      </x:c>
      <x:c r="C60" s="18" t="str">
        <x:v>usefulverse.com</x:v>
      </x:c>
      <x:c r="D60" s="18" t="str">
        <x:v>https://usefulverse.com/tools/image-to-pdf/</x:v>
      </x:c>
      <x:c r="E60" s="22" t="n">
        <x:v>36</x:v>
      </x:c>
      <x:c r="F60" s="18" t="str">
        <x:v>Sí</x:v>
      </x:c>
      <x:c r="G60" s="18" t="str">
        <x:v>Convert JPG, PNG, HEIC, WebP and other images to PDF. Reorder pages and choose A4, US Letter or image size.</x:v>
      </x:c>
      <x:c r="H60" s="18" t="str">
        <x:v>principal · commit 8dfcc147a3</x:v>
      </x:c>
    </x:row>
    <x:row r="61" ht="48" customHeight="1">
      <x:c r="A61" s="18" t="str">
        <x:v>favicon-generator</x:v>
      </x:c>
      <x:c r="B61" s="18" t="str">
        <x:v>Favicon Generator</x:v>
      </x:c>
      <x:c r="C61" s="18" t="str">
        <x:v>usefulverse.com</x:v>
      </x:c>
      <x:c r="D61" s="18" t="str">
        <x:v>https://usefulverse.com/tools/favicon-generator/</x:v>
      </x:c>
      <x:c r="E61" s="22" t="n">
        <x:v>36</x:v>
      </x:c>
      <x:c r="F61" s="18" t="str">
        <x:v>Sí</x:v>
      </x:c>
      <x:c r="G61" s="18" t="str">
        <x:v>Create a favicon package from a logo with ICO, PNG, Apple touch icon, web manifest and HTML tags.</x:v>
      </x:c>
      <x:c r="H61" s="18" t="str">
        <x:v>principal · commit 8dfcc147a3</x:v>
      </x:c>
    </x:row>
    <x:row r="62" ht="48" customHeight="1">
      <x:c r="A62" s="18" t="str">
        <x:v>image-format-converter</x:v>
      </x:c>
      <x:c r="B62" s="18" t="str">
        <x:v>Image Format Converter</x:v>
      </x:c>
      <x:c r="C62" s="18" t="str">
        <x:v>usefulverse.com</x:v>
      </x:c>
      <x:c r="D62" s="18" t="str">
        <x:v>https://usefulverse.com/tools/image-format-converter/</x:v>
      </x:c>
      <x:c r="E62" s="22" t="n">
        <x:v>36</x:v>
      </x:c>
      <x:c r="F62" s="18" t="str">
        <x:v>Sí</x:v>
      </x:c>
      <x:c r="G62" s="18" t="str">
        <x:v>Convert JPG, PNG, WebP, HEIC, AVIF, BMP, GIF or SVG images to JPG, PNG or WebP in private batches.</x:v>
      </x:c>
      <x:c r="H62" s="18" t="str">
        <x:v>principal · commit 8dfcc147a3</x:v>
      </x:c>
    </x:row>
    <x:row r="63" ht="48" customHeight="1">
      <x:c r="A63" s="18" t="str">
        <x:v>markdown-html-converter</x:v>
      </x:c>
      <x:c r="B63" s="18" t="str">
        <x:v>Markdown to HTML Converter</x:v>
      </x:c>
      <x:c r="C63" s="18" t="str">
        <x:v>usefulverse.com</x:v>
      </x:c>
      <x:c r="D63" s="18" t="str">
        <x:v>https://usefulverse.com/tools/markdown-html-converter/</x:v>
      </x:c>
      <x:c r="E63" s="22" t="n">
        <x:v>36</x:v>
      </x:c>
      <x:c r="F63" s="18" t="str">
        <x:v>Sí</x:v>
      </x:c>
      <x:c r="G63" s="18" t="str">
        <x:v>Convert Markdown to HTML or HTML to Markdown with a safe preview and GitHub Flavored Markdown options.</x:v>
      </x:c>
      <x:c r="H63" s="18" t="str">
        <x:v>principal · commit 8dfcc147a3</x:v>
      </x:c>
    </x:row>
    <x:row r="64" ht="48" customHeight="1">
      <x:c r="A64" s="18" t="str">
        <x:v>json-yaml-converter</x:v>
      </x:c>
      <x:c r="B64" s="18" t="str">
        <x:v>JSON to YAML Converter</x:v>
      </x:c>
      <x:c r="C64" s="18" t="str">
        <x:v>usefulverse.com</x:v>
      </x:c>
      <x:c r="D64" s="18" t="str">
        <x:v>https://usefulverse.com/tools/json-yaml-converter/</x:v>
      </x:c>
      <x:c r="E64" s="22" t="n">
        <x:v>36</x:v>
      </x:c>
      <x:c r="F64" s="18" t="str">
        <x:v>Sí</x:v>
      </x:c>
      <x:c r="G64" s="18" t="str">
        <x:v>Convert JSON to YAML or YAML to formatted JSON in your browser, with safe parsing and downloadable output.</x:v>
      </x:c>
      <x:c r="H64" s="18" t="str">
        <x:v>principal · commit 8dfcc147a3</x:v>
      </x:c>
    </x:row>
    <x:row r="65" ht="48" customHeight="1">
      <x:c r="A65" s="18" t="str">
        <x:v>standard-deviation-calculator</x:v>
      </x:c>
      <x:c r="B65" s="18" t="str">
        <x:v>Standard Deviation Calculator</x:v>
      </x:c>
      <x:c r="C65" s="18" t="str">
        <x:v>usefulverse.com</x:v>
      </x:c>
      <x:c r="D65" s="18" t="str">
        <x:v>https://usefulverse.com/tools/standard-deviation-calculator/</x:v>
      </x:c>
      <x:c r="E65" s="22" t="n">
        <x:v>36</x:v>
      </x:c>
      <x:c r="F65" s="18" t="str">
        <x:v>Sí</x:v>
      </x:c>
      <x:c r="G65" s="18" t="str">
        <x:v>Calculate population or sample standard deviation, variance, mean and count from a list of numbers.</x:v>
      </x:c>
      <x:c r="H65" s="18" t="str">
        <x:v>principal · commit 8dfcc147a3</x:v>
      </x:c>
    </x:row>
    <x:row r="66" ht="48" customHeight="1">
      <x:c r="A66" s="18" t="str">
        <x:v>discount-calculator</x:v>
      </x:c>
      <x:c r="B66" s="18" t="str">
        <x:v>Discount Calculator</x:v>
      </x:c>
      <x:c r="C66" s="18" t="str">
        <x:v>usefulverse.com</x:v>
      </x:c>
      <x:c r="D66" s="18" t="str">
        <x:v>https://usefulverse.com/tools/discount-calculator/</x:v>
      </x:c>
      <x:c r="E66" s="22" t="n">
        <x:v>36</x:v>
      </x:c>
      <x:c r="F66" s="18" t="str">
        <x:v>Sí</x:v>
      </x:c>
      <x:c r="G66" s="18" t="str">
        <x:v>Find a sale price, the amount saved or the discount percentage from the original and sale prices.</x:v>
      </x:c>
      <x:c r="H66" s="18" t="str">
        <x:v>principal · commit 8dfcc147a3</x:v>
      </x:c>
    </x:row>
    <x:row r="67" ht="48" customHeight="1">
      <x:c r="A67" s="18" t="str">
        <x:v>square-footage-calculator</x:v>
      </x:c>
      <x:c r="B67" s="18" t="str">
        <x:v>Square Footage Calculator</x:v>
      </x:c>
      <x:c r="C67" s="18" t="str">
        <x:v>usefulverse.com</x:v>
      </x:c>
      <x:c r="D67" s="18" t="str">
        <x:v>https://usefulverse.com/tools/square-footage-calculator/</x:v>
      </x:c>
      <x:c r="E67" s="22" t="n">
        <x:v>36</x:v>
      </x:c>
      <x:c r="F67" s="18" t="str">
        <x:v>Sí</x:v>
      </x:c>
      <x:c r="G67" s="18" t="str">
        <x:v>Calculate floor area in square feet and square meters, then add a waste allowance for flooring estimates.</x:v>
      </x:c>
      <x:c r="H67" s="18" t="str">
        <x:v>principal · commit 8dfcc147a3</x:v>
      </x:c>
    </x:row>
    <x:row r="68" ht="48" customHeight="1">
      <x:c r="A68" s="18" t="str">
        <x:v>barcode-generator</x:v>
      </x:c>
      <x:c r="B68" s="18" t="str">
        <x:v>Barcode Generator</x:v>
      </x:c>
      <x:c r="C68" s="18" t="str">
        <x:v>usefulverse.com</x:v>
      </x:c>
      <x:c r="D68" s="18" t="str">
        <x:v>https://usefulverse.com/tools/barcode-generator/</x:v>
      </x:c>
      <x:c r="E68" s="22" t="n">
        <x:v>36</x:v>
      </x:c>
      <x:c r="F68" s="18" t="str">
        <x:v>Sí</x:v>
      </x:c>
      <x:c r="G68" s="18" t="str">
        <x:v>Generate Code 128, EAN-13 or UPC-A barcodes and download a sharp SVG or PNG without uploading your data.</x:v>
      </x:c>
      <x:c r="H68" s="18" t="str">
        <x:v>principal · commit 8dfcc147a3</x:v>
      </x:c>
    </x:row>
    <x:row r="69" ht="48" customHeight="1">
      <x:c r="A69" s="18" t="str">
        <x:v>typing-speed-test</x:v>
      </x:c>
      <x:c r="B69" s="18" t="str">
        <x:v>Typing Speed Test</x:v>
      </x:c>
      <x:c r="C69" s="18" t="str">
        <x:v>usefulverse.com</x:v>
      </x:c>
      <x:c r="D69" s="18" t="str">
        <x:v>https://usefulverse.com/tools/typing-speed-test/</x:v>
      </x:c>
      <x:c r="E69" s="22" t="n">
        <x:v>36</x:v>
      </x:c>
      <x:c r="F69" s="18" t="str">
        <x:v>Sí</x:v>
      </x:c>
      <x:c r="G69" s="18" t="str">
        <x:v>Take a 15, 30 or 60 second typing test and see your WPM, accuracy and correct characters instantly.</x:v>
      </x:c>
      <x:c r="H69" s="18" t="str">
        <x:v>principal · commit 8dfcc147a3</x:v>
      </x:c>
    </x:row>
    <x:row r="70" ht="48" customHeight="1">
      <x:c r="A70" s="18" t="str">
        <x:v>fraction-calculator</x:v>
      </x:c>
      <x:c r="B70" s="18" t="str">
        <x:v>Fraction Calculator</x:v>
      </x:c>
      <x:c r="C70" s="18" t="str">
        <x:v>usefulverse.com</x:v>
      </x:c>
      <x:c r="D70" s="18" t="str">
        <x:v>https://usefulverse.com/tools/fraction-calculator/</x:v>
      </x:c>
      <x:c r="E70" s="22" t="n">
        <x:v>36</x:v>
      </x:c>
      <x:c r="F70" s="18" t="str">
        <x:v>Sí</x:v>
      </x:c>
      <x:c r="G70" s="18" t="str">
        <x:v>Add, subtract, multiply, divide and simplify fractions, mixed numbers and decimals with exact results.</x:v>
      </x:c>
      <x:c r="H70" s="18" t="str">
        <x:v>principal · commit 8dfcc147a3</x:v>
      </x:c>
    </x:row>
    <x:row r="71" ht="48" customHeight="1">
      <x:c r="A71" s="18" t="str">
        <x:v>time-card-calculator</x:v>
      </x:c>
      <x:c r="B71" s="18" t="str">
        <x:v>Time Card Calculator</x:v>
      </x:c>
      <x:c r="C71" s="18" t="str">
        <x:v>usefulverse.com</x:v>
      </x:c>
      <x:c r="D71" s="18" t="str">
        <x:v>https://usefulverse.com/tools/time-card-calculator/</x:v>
      </x:c>
      <x:c r="E71" s="22" t="n">
        <x:v>36</x:v>
      </x:c>
      <x:c r="F71" s="18" t="str">
        <x:v>Sí</x:v>
      </x:c>
      <x:c r="G71" s="18" t="str">
        <x:v>Add work shifts, subtract unpaid breaks and total weekly hours, including overnight shifts and optional gross pay.</x:v>
      </x:c>
      <x:c r="H71" s="18" t="str">
        <x:v>principal · commit 8dfcc147a3</x:v>
      </x:c>
    </x:row>
    <x:row r="72" ht="48" customHeight="1">
      <x:c r="A72" s="18" t="str">
        <x:v>online-timer</x:v>
      </x:c>
      <x:c r="B72" s="18" t="str">
        <x:v>Online Timer, Stopwatch &amp; Pomodoro</x:v>
      </x:c>
      <x:c r="C72" s="18" t="str">
        <x:v>usefulverse.com</x:v>
      </x:c>
      <x:c r="D72" s="18" t="str">
        <x:v>https://usefulverse.com/tools/online-timer/</x:v>
      </x:c>
      <x:c r="E72" s="22" t="n">
        <x:v>36</x:v>
      </x:c>
      <x:c r="F72" s="18" t="str">
        <x:v>Sí</x:v>
      </x:c>
      <x:c r="G72" s="18" t="str">
        <x:v>Use a countdown timer, stopwatch or Pomodoro focus timer in one simple browser tool.</x:v>
      </x:c>
      <x:c r="H72" s="18" t="str">
        <x:v>principal · commit 8dfcc147a3</x:v>
      </x:c>
    </x:row>
    <x:row r="73" ht="48" customHeight="1">
      <x:c r="A73" s="18" t="str">
        <x:v>lorem-ipsum-generator</x:v>
      </x:c>
      <x:c r="B73" s="18" t="str">
        <x:v>Lorem Ipsum Generator</x:v>
      </x:c>
      <x:c r="C73" s="18" t="str">
        <x:v>usefulverse.com</x:v>
      </x:c>
      <x:c r="D73" s="18" t="str">
        <x:v>https://usefulverse.com/tools/lorem-ipsum-generator/</x:v>
      </x:c>
      <x:c r="E73" s="22" t="n">
        <x:v>36</x:v>
      </x:c>
      <x:c r="F73" s="18" t="str">
        <x:v>Sí</x:v>
      </x:c>
      <x:c r="G73" s="18" t="str">
        <x:v>Generate placeholder text by paragraphs, sentences or words and copy it without an account.</x:v>
      </x:c>
      <x:c r="H73" s="18" t="str">
        <x:v>principal · commit 8dfcc147a3</x:v>
      </x:c>
    </x:row>
    <x:row r="74" ht="48" customHeight="1">
      <x:c r="A74" s="18" t="str">
        <x:v>subnet-calculator</x:v>
      </x:c>
      <x:c r="B74" s="18" t="str">
        <x:v>IPv4 Subnet Calculator</x:v>
      </x:c>
      <x:c r="C74" s="18" t="str">
        <x:v>usefulverse.com</x:v>
      </x:c>
      <x:c r="D74" s="18" t="str">
        <x:v>https://usefulverse.com/tools/subnet-calculator/</x:v>
      </x:c>
      <x:c r="E74" s="22" t="n">
        <x:v>36</x:v>
      </x:c>
      <x:c r="F74" s="18" t="str">
        <x:v>Sí</x:v>
      </x:c>
      <x:c r="G74" s="18" t="str">
        <x:v>Calculate IPv4 network, subnet mask, wildcard, broadcast address and host range from an IP/CIDR.</x:v>
      </x:c>
      <x:c r="H74" s="18" t="str">
        <x:v>principal · commit 8dfcc147a3</x:v>
      </x:c>
    </x:row>
    <x:row r="75" ht="48" customHeight="1">
      <x:c r="A75" s="18" t="str">
        <x:v>random-name-picker</x:v>
      </x:c>
      <x:c r="B75" s="18" t="str">
        <x:v>Random Name Picker</x:v>
      </x:c>
      <x:c r="C75" s="18" t="str">
        <x:v>usefulverse.com</x:v>
      </x:c>
      <x:c r="D75" s="18" t="str">
        <x:v>https://usefulverse.com/tools/random-name-picker/</x:v>
      </x:c>
      <x:c r="E75" s="22" t="n">
        <x:v>36</x:v>
      </x:c>
      <x:c r="F75" s="18" t="str">
        <x:v>Sí</x:v>
      </x:c>
      <x:c r="G75" s="18" t="str">
        <x:v>Pick one or several random names from a list, with an option to prevent repeat winners.</x:v>
      </x:c>
      <x:c r="H75" s="18" t="str">
        <x:v>principal · commit 8dfcc147a3</x:v>
      </x:c>
    </x:row>
    <x:row r="76" ht="48" customHeight="1">
      <x:c r="A76" s="18" t="str">
        <x:v>fuel-cost-calculator</x:v>
      </x:c>
      <x:c r="B76" s="18" t="str">
        <x:v>Fuel Cost Calculator</x:v>
      </x:c>
      <x:c r="C76" s="18" t="str">
        <x:v>usefulverse.com</x:v>
      </x:c>
      <x:c r="D76" s="18" t="str">
        <x:v>https://usefulverse.com/tools/fuel-cost-calculator/</x:v>
      </x:c>
      <x:c r="E76" s="22" t="n">
        <x:v>36</x:v>
      </x:c>
      <x:c r="F76" s="18" t="str">
        <x:v>Sí</x:v>
      </x:c>
      <x:c r="G76" s="18" t="str">
        <x:v>Estimate trip fuel use and cost from distance, vehicle efficiency and your local fuel price.</x:v>
      </x:c>
      <x:c r="H76" s="18" t="str">
        <x:v>principal · commit 8dfcc147a3</x:v>
      </x:c>
    </x:row>
    <x:row r="77" ht="48" customHeight="1">
      <x:c r="A77" s="18" t="str">
        <x:v>image-cropper</x:v>
      </x:c>
      <x:c r="B77" s="18" t="str">
        <x:v>Image Cropper</x:v>
      </x:c>
      <x:c r="C77" s="18" t="str">
        <x:v>usefulverse.com</x:v>
      </x:c>
      <x:c r="D77" s="18" t="str">
        <x:v>https://usefulverse.com/tools/image-cropper/</x:v>
      </x:c>
      <x:c r="E77" s="22" t="n">
        <x:v>36</x:v>
      </x:c>
      <x:c r="F77" s="18" t="str">
        <x:v>Sí</x:v>
      </x:c>
      <x:c r="G77" s="18" t="str">
        <x:v>Crop a picture to a custom area or common aspect ratio and download it as PNG, JPG or WebP.</x:v>
      </x:c>
      <x:c r="H77" s="18" t="str">
        <x:v>principal · commit 8dfcc147a3</x:v>
      </x:c>
    </x:row>
    <x:row r="78" ht="48" customHeight="1">
      <x:c r="A78" s="18" t="str">
        <x:v>pdf-to-image</x:v>
      </x:c>
      <x:c r="B78" s="18" t="str">
        <x:v>PDF to JPG &amp; PNG Converter</x:v>
      </x:c>
      <x:c r="C78" s="18" t="str">
        <x:v>usefulverse.com</x:v>
      </x:c>
      <x:c r="D78" s="18" t="str">
        <x:v>https://usefulverse.com/tools/pdf-to-image/</x:v>
      </x:c>
      <x:c r="E78" s="22" t="n">
        <x:v>36</x:v>
      </x:c>
      <x:c r="F78" s="18" t="str">
        <x:v>Sí</x:v>
      </x:c>
      <x:c r="G78" s="18" t="str">
        <x:v>Convert PDF pages to JPG or PNG images in your browser and download the selected pages together.</x:v>
      </x:c>
      <x:c r="H78" s="18" t="str">
        <x:v>principal · commit 8dfcc147a3</x:v>
      </x:c>
    </x:row>
    <x:row r="79" ht="48" customHeight="1">
      <x:c r="A79" s="18" t="str">
        <x:v>sql-formatter</x:v>
      </x:c>
      <x:c r="B79" s="18" t="str">
        <x:v>SQL Formatter</x:v>
      </x:c>
      <x:c r="C79" s="18" t="str">
        <x:v>usefulverse.com</x:v>
      </x:c>
      <x:c r="D79" s="18" t="str">
        <x:v>https://usefulverse.com/tools/sql-formatter/</x:v>
      </x:c>
      <x:c r="E79" s="22" t="n">
        <x:v>36</x:v>
      </x:c>
      <x:c r="F79" s="18" t="str">
        <x:v>Sí</x:v>
      </x:c>
      <x:c r="G79" s="18" t="str">
        <x:v>Format and indent SQL queries with readable line breaks while keeping your code on your device.</x:v>
      </x:c>
      <x:c r="H79" s="18" t="str">
        <x:v>principal · commit 8dfcc147a3</x:v>
      </x:c>
    </x:row>
    <x:row r="80" ht="48" customHeight="1">
      <x:c r="A80" s="18" t="str">
        <x:v>pdf-page-editor</x:v>
      </x:c>
      <x:c r="B80" s="18" t="str">
        <x:v>PDF Page Organizer &amp; Editor</x:v>
      </x:c>
      <x:c r="C80" s="18" t="str">
        <x:v>usefulverse.com</x:v>
      </x:c>
      <x:c r="D80" s="18" t="str">
        <x:v>https://usefulverse.com/tools/pdf-page-editor/</x:v>
      </x:c>
      <x:c r="E80" s="22" t="n">
        <x:v>36</x:v>
      </x:c>
      <x:c r="F80" s="18" t="str">
        <x:v>Sí</x:v>
      </x:c>
      <x:c r="G80" s="18" t="str">
        <x:v>Reorder, rotate, remove and extract PDF pages, then add page numbers or a simple text watermark locally.</x:v>
      </x:c>
      <x:c r="H80" s="18" t="str">
        <x:v>principal · commit 8dfcc147a3</x:v>
      </x:c>
    </x:row>
    <x:row r="81" ht="48" customHeight="1">
      <x:c r="A81" s="18" t="str">
        <x:v>pdf-ocr</x:v>
      </x:c>
      <x:c r="B81" s="18" t="str">
        <x:v>PDF OCR &amp; Scanned Text Extractor</x:v>
      </x:c>
      <x:c r="C81" s="18" t="str">
        <x:v>usefulverse.com</x:v>
      </x:c>
      <x:c r="D81" s="18" t="str">
        <x:v>https://usefulverse.com/tools/pdf-ocr/</x:v>
      </x:c>
      <x:c r="E81" s="22" t="n">
        <x:v>36</x:v>
      </x:c>
      <x:c r="F81" s="18" t="str">
        <x:v>Sí</x:v>
      </x:c>
      <x:c r="G81" s="18" t="str">
        <x:v>Extract selectable PDF text or recognize a scanned page locally and download the result as a text file.</x:v>
      </x:c>
      <x:c r="H81" s="18" t="str">
        <x:v>principal · commit 8dfcc147a3</x:v>
      </x:c>
    </x:row>
    <x:row r="82" ht="48" customHeight="1">
      <x:c r="A82" s="18" t="str">
        <x:v>pdf-document-converter</x:v>
      </x:c>
      <x:c r="B82" s="18" t="str">
        <x:v>PDF and Word Text Converter</x:v>
      </x:c>
      <x:c r="C82" s="18" t="str">
        <x:v>usefulverse.com</x:v>
      </x:c>
      <x:c r="D82" s="18" t="str">
        <x:v>https://usefulverse.com/tools/pdf-document-converter/</x:v>
      </x:c>
      <x:c r="E82" s="22" t="n">
        <x:v>36</x:v>
      </x:c>
      <x:c r="F82" s="18" t="str">
        <x:v>Sí</x:v>
      </x:c>
      <x:c r="G82" s="18" t="str">
        <x:v>Extract PDF text into a simple editable DOCX or open DOCX text in a print-ready page, all in your browser.</x:v>
      </x:c>
      <x:c r="H82" s="18" t="str">
        <x:v>principal · commit 8dfcc147a3</x:v>
      </x:c>
    </x:row>
    <x:row r="83" ht="48" customHeight="1">
      <x:c r="A83" s="18" t="str">
        <x:v>html-to-pdf</x:v>
      </x:c>
      <x:c r="B83" s="18" t="str">
        <x:v>HTML to PDF Converter</x:v>
      </x:c>
      <x:c r="C83" s="18" t="str">
        <x:v>usefulverse.com</x:v>
      </x:c>
      <x:c r="D83" s="18" t="str">
        <x:v>https://usefulverse.com/tools/html-to-pdf/</x:v>
      </x:c>
      <x:c r="E83" s="22" t="n">
        <x:v>36</x:v>
      </x:c>
      <x:c r="F83" s="18" t="str">
        <x:v>Sí</x:v>
      </x:c>
      <x:c r="G83" s="18" t="str">
        <x:v>Print simple HTML text and tables to PDF using your browser. Local preview, no upload, and no website URL fetching.</x:v>
      </x:c>
      <x:c r="H83" s="18" t="str">
        <x:v>principal · commit 8dfcc147a3</x:v>
      </x:c>
    </x:row>
    <x:row r="84" ht="48" customHeight="1">
      <x:c r="A84" s="18" t="str">
        <x:v>pdf-to-markdown</x:v>
      </x:c>
      <x:c r="B84" s="18" t="str">
        <x:v>PDF to Markdown Converter</x:v>
      </x:c>
      <x:c r="C84" s="18" t="str">
        <x:v>usefulverse.com</x:v>
      </x:c>
      <x:c r="D84" s="18" t="str">
        <x:v>https://usefulverse.com/tools/pdf-to-markdown/</x:v>
      </x:c>
      <x:c r="E84" s="22" t="n">
        <x:v>36</x:v>
      </x:c>
      <x:c r="F84" s="18" t="str">
        <x:v>Sí</x:v>
      </x:c>
      <x:c r="G84" s="18" t="str">
        <x:v>Extract selectable text from a PDF into a Markdown file with page headings, locally in your browser.</x:v>
      </x:c>
      <x:c r="H84" s="18" t="str">
        <x:v>principal · commit 8dfcc147a3</x:v>
      </x:c>
    </x:row>
    <x:row r="85" ht="48" customHeight="1">
      <x:c r="A85" s="18" t="str">
        <x:v>pdf-form-filler</x:v>
      </x:c>
      <x:c r="B85" s="18" t="str">
        <x:v>Fill PDF Forms &amp; Add a Signature</x:v>
      </x:c>
      <x:c r="C85" s="18" t="str">
        <x:v>usefulverse.com</x:v>
      </x:c>
      <x:c r="D85" s="18" t="str">
        <x:v>https://usefulverse.com/tools/pdf-form-filler/</x:v>
      </x:c>
      <x:c r="E85" s="22" t="n">
        <x:v>36</x:v>
      </x:c>
      <x:c r="F85" s="18" t="str">
        <x:v>Sí</x:v>
      </x:c>
      <x:c r="G85" s="18" t="str">
        <x:v>Fill supported PDF form fields and place a drawn signature on a page without uploading the document.</x:v>
      </x:c>
      <x:c r="H85" s="18" t="str">
        <x:v>principal · commit 8dfcc147a3</x:v>
      </x:c>
    </x:row>
    <x:row r="86" ht="48" customHeight="1">
      <x:c r="A86" s="18" t="str">
        <x:v>pdf-compare</x:v>
      </x:c>
      <x:c r="B86" s="18" t="str">
        <x:v>Compare Two PDF Files</x:v>
      </x:c>
      <x:c r="C86" s="18" t="str">
        <x:v>usefulverse.com</x:v>
      </x:c>
      <x:c r="D86" s="18" t="str">
        <x:v>https://usefulverse.com/tools/pdf-compare/</x:v>
      </x:c>
      <x:c r="E86" s="22" t="n">
        <x:v>36</x:v>
      </x:c>
      <x:c r="F86" s="18" t="str">
        <x:v>Sí</x:v>
      </x:c>
      <x:c r="G86" s="18" t="str">
        <x:v>Compare selectable text in two PDF files page by page and review which pages changed.</x:v>
      </x:c>
      <x:c r="H86" s="18" t="str">
        <x:v>principal · commit 8dfcc147a3</x:v>
      </x:c>
    </x:row>
    <x:row r="87" ht="48" customHeight="1">
      <x:c r="A87" s="18" t="str">
        <x:v>zip-archive-tool</x:v>
      </x:c>
      <x:c r="B87" s="18" t="str">
        <x:v>ZIP File Creator &amp; Extractor</x:v>
      </x:c>
      <x:c r="C87" s="18" t="str">
        <x:v>usefulverse.com</x:v>
      </x:c>
      <x:c r="D87" s="18" t="str">
        <x:v>https://usefulverse.com/tools/zip-archive-tool/</x:v>
      </x:c>
      <x:c r="E87" s="22" t="n">
        <x:v>36</x:v>
      </x:c>
      <x:c r="F87" s="18" t="str">
        <x:v>Sí</x:v>
      </x:c>
      <x:c r="G87" s="18" t="str">
        <x:v>Create a ZIP archive from selected files or extract a standard ZIP on your device.</x:v>
      </x:c>
      <x:c r="H87" s="18" t="str">
        <x:v>principal · commit 8dfcc147a3</x:v>
      </x:c>
    </x:row>
    <x:row r="88" ht="48" customHeight="1">
      <x:c r="A88" s="18" t="str">
        <x:v>media-converter</x:v>
      </x:c>
      <x:c r="B88" s="18" t="str">
        <x:v>Audio &amp; Video Converter and Trimmer</x:v>
      </x:c>
      <x:c r="C88" s="18" t="str">
        <x:v>usefulverse.com</x:v>
      </x:c>
      <x:c r="D88" s="18" t="str">
        <x:v>https://usefulverse.com/tools/media-converter/</x:v>
      </x:c>
      <x:c r="E88" s="22" t="n">
        <x:v>36</x:v>
      </x:c>
      <x:c r="F88" s="18" t="str">
        <x:v>Sí</x:v>
      </x:c>
      <x:c r="G88" s="18" t="str">
        <x:v>Convert supported audio or video formats, trim a clip or extract audio from a video in your browser.</x:v>
      </x:c>
      <x:c r="H88" s="18" t="str">
        <x:v>principal · commit 8dfcc147a3</x:v>
      </x:c>
    </x:row>
    <x:row r="89" ht="48" customHeight="1">
      <x:c r="A89" s="18" t="str">
        <x:v>scientific-calculator</x:v>
      </x:c>
      <x:c r="B89" s="18" t="str">
        <x:v>Scientific Calculator</x:v>
      </x:c>
      <x:c r="C89" s="18" t="str">
        <x:v>usefulverse.com</x:v>
      </x:c>
      <x:c r="D89" s="18" t="str">
        <x:v>https://usefulverse.com/tools/scientific-calculator/</x:v>
      </x:c>
      <x:c r="E89" s="22" t="n">
        <x:v>36</x:v>
      </x:c>
      <x:c r="F89" s="18" t="str">
        <x:v>Sí</x:v>
      </x:c>
      <x:c r="G89" s="18" t="str">
        <x:v>Calculate scientific expressions with parentheses, powers, square roots, logarithms and trigonometry.</x:v>
      </x:c>
      <x:c r="H89" s="18" t="str">
        <x:v>principal · commit 8dfcc147a3</x:v>
      </x:c>
    </x:row>
    <x:row r="90" ht="48" customHeight="1">
      <x:c r="A90" s="18" t="str">
        <x:v>loan-calculator</x:v>
      </x:c>
      <x:c r="B90" s="18" t="str">
        <x:v>Loan &amp; Mortgage Payment Calculator</x:v>
      </x:c>
      <x:c r="C90" s="18" t="str">
        <x:v>usefulverse.com</x:v>
      </x:c>
      <x:c r="D90" s="18" t="str">
        <x:v>https://usefulverse.com/tools/loan-calculator/</x:v>
      </x:c>
      <x:c r="E90" s="22" t="n">
        <x:v>36</x:v>
      </x:c>
      <x:c r="F90" s="18" t="str">
        <x:v>Sí</x:v>
      </x:c>
      <x:c r="G90" s="18" t="str">
        <x:v>Estimate monthly loan payments, total interest and payoff time, with an optional extra payment.</x:v>
      </x:c>
      <x:c r="H90" s="18" t="str">
        <x:v>principal · commit 8dfcc147a3</x:v>
      </x:c>
    </x:row>
    <x:row r="91" ht="48" customHeight="1">
      <x:c r="A91" s="18" t="str">
        <x:v>compound-interest-calculator</x:v>
      </x:c>
      <x:c r="B91" s="18" t="str">
        <x:v>Compound Interest &amp; Savings Calculator</x:v>
      </x:c>
      <x:c r="C91" s="18" t="str">
        <x:v>usefulverse.com</x:v>
      </x:c>
      <x:c r="D91" s="18" t="str">
        <x:v>https://usefulverse.com/tools/compound-interest-calculator/</x:v>
      </x:c>
      <x:c r="E91" s="22" t="n">
        <x:v>36</x:v>
      </x:c>
      <x:c r="F91" s="18" t="str">
        <x:v>Sí</x:v>
      </x:c>
      <x:c r="G91" s="18" t="str">
        <x:v>Estimate savings growth from a starting balance, monthly contributions, interest rate and compounding frequency.</x:v>
      </x:c>
      <x:c r="H91" s="18" t="str">
        <x:v>principal · commit 8dfcc147a3</x:v>
      </x:c>
    </x:row>
    <x:row r="92" ht="48" customHeight="1">
      <x:c r="A92" s="18" t="str">
        <x:v>invoice-generator</x:v>
      </x:c>
      <x:c r="B92" s="18" t="str">
        <x:v>Simple Invoice Generator</x:v>
      </x:c>
      <x:c r="C92" s="18" t="str">
        <x:v>usefulverse.com</x:v>
      </x:c>
      <x:c r="D92" s="18" t="str">
        <x:v>https://usefulverse.com/tools/invoice-generator/</x:v>
      </x:c>
      <x:c r="E92" s="22" t="n">
        <x:v>36</x:v>
      </x:c>
      <x:c r="F92" s="18" t="str">
        <x:v>Sí</x:v>
      </x:c>
      <x:c r="G92" s="18" t="str">
        <x:v>Create a simple invoice with line items, tax and totals in your browser, then print or save it as a PDF.</x:v>
      </x:c>
      <x:c r="H92" s="18" t="str">
        <x:v>principal · commit 8dfcc147a3</x:v>
      </x:c>
    </x:row>
    <x:row r="93" ht="48" customHeight="1">
      <x:c r="A93" s="18" t="str">
        <x:v>resume-builder</x:v>
      </x:c>
      <x:c r="B93" s="18" t="str">
        <x:v>Resume &amp; CV Builder</x:v>
      </x:c>
      <x:c r="C93" s="18" t="str">
        <x:v>usefulverse.com</x:v>
      </x:c>
      <x:c r="D93" s="18" t="str">
        <x:v>https://usefulverse.com/tools/resume-builder/</x:v>
      </x:c>
      <x:c r="E93" s="22" t="n">
        <x:v>36</x:v>
      </x:c>
      <x:c r="F93" s="18" t="str">
        <x:v>Sí</x:v>
      </x:c>
      <x:c r="G93" s="18" t="str">
        <x:v>Draft a simple resume or CV with a live preview and print it or save it as a PDF on your device.</x:v>
      </x:c>
      <x:c r="H93" s="18" t="str">
        <x:v>principal · commit 8dfcc147a3</x:v>
      </x:c>
    </x:row>
    <x:row r="94" ht="48" customHeight="1">
      <x:c r="A94" s="18" t="str">
        <x:v>portrait-background-remover</x:v>
      </x:c>
      <x:c r="B94" s="18" t="str">
        <x:v>Portrait Background Remover</x:v>
      </x:c>
      <x:c r="C94" s="18" t="str">
        <x:v>usefulverse.com</x:v>
      </x:c>
      <x:c r="D94" s="18" t="str">
        <x:v>https://usefulverse.com/tools/portrait-background-remover/</x:v>
      </x:c>
      <x:c r="E94" s="22" t="n">
        <x:v>36</x:v>
      </x:c>
      <x:c r="F94" s="18" t="str">
        <x:v>Sí</x:v>
      </x:c>
      <x:c r="G94" s="18" t="str">
        <x:v>Remove the background from a portrait using an optional small AI model that runs on your device.</x:v>
      </x:c>
      <x:c r="H94" s="18" t="str">
        <x:v>principal · commit 8dfcc147a3</x:v>
      </x:c>
    </x:row>
    <x:row r="95" ht="48" customHeight="1">
      <x:c r="A95" s="18" t="str">
        <x:v>gcd-lcm-calculator</x:v>
      </x:c>
      <x:c r="B95" s="18" t="str">
        <x:v>GCD and LCM Calculator</x:v>
      </x:c>
      <x:c r="C95" s="18" t="str">
        <x:v>usefulverse.com</x:v>
      </x:c>
      <x:c r="D95" s="18" t="str">
        <x:v>https://usefulverse.com/tools/gcd-lcm-calculator/</x:v>
      </x:c>
      <x:c r="E95" s="22" t="n">
        <x:v>36</x:v>
      </x:c>
      <x:c r="F95" s="18" t="str">
        <x:v>Sí</x:v>
      </x:c>
      <x:c r="G95" s="18" t="str">
        <x:v>Find the greatest common divisor and least common multiple of two or more whole numbers.</x:v>
      </x:c>
      <x:c r="H95" s="18" t="str">
        <x:v>principal · commit 8dfcc147a3</x:v>
      </x:c>
    </x:row>
    <x:row r="96" ht="48" customHeight="1">
      <x:c r="A96" s="18" t="str">
        <x:v>scientific-notation-converter</x:v>
      </x:c>
      <x:c r="B96" s="18" t="str">
        <x:v>Scientific Notation Converter</x:v>
      </x:c>
      <x:c r="C96" s="18" t="str">
        <x:v>usefulverse.com</x:v>
      </x:c>
      <x:c r="D96" s="18" t="str">
        <x:v>https://usefulverse.com/tools/scientific-notation-converter/</x:v>
      </x:c>
      <x:c r="E96" s="22" t="n">
        <x:v>36</x:v>
      </x:c>
      <x:c r="F96" s="18" t="str">
        <x:v>Sí</x:v>
      </x:c>
      <x:c r="G96" s="18" t="str">
        <x:v>Convert decimal numbers to scientific notation and convert scientific notation back to standard form.</x:v>
      </x:c>
      <x:c r="H96" s="18" t="str">
        <x:v>principal · commit 8dfcc147a3</x:v>
      </x:c>
    </x:row>
    <x:row r="97" ht="48" customHeight="1">
      <x:c r="A97" s="18" t="str">
        <x:v>profit-margin-calculator</x:v>
      </x:c>
      <x:c r="B97" s="18" t="str">
        <x:v>Profit Margin Calculator</x:v>
      </x:c>
      <x:c r="C97" s="18" t="str">
        <x:v>usefulverse.com</x:v>
      </x:c>
      <x:c r="D97" s="18" t="str">
        <x:v>https://usefulverse.com/tools/profit-margin-calculator/</x:v>
      </x:c>
      <x:c r="E97" s="22" t="n">
        <x:v>36</x:v>
      </x:c>
      <x:c r="F97" s="18" t="str">
        <x:v>Sí</x:v>
      </x:c>
      <x:c r="G97" s="18" t="str">
        <x:v>Calculate profit, profit margin, markup and selling price from your cost and revenue.</x:v>
      </x:c>
      <x:c r="H97" s="18" t="str">
        <x:v>principal · commit 8dfcc147a3</x:v>
      </x:c>
    </x:row>
    <x:row r="98" ht="48" customHeight="1">
      <x:c r="A98" s="18" t="str">
        <x:v>salary-to-hourly-calculator</x:v>
      </x:c>
      <x:c r="B98" s="18" t="str">
        <x:v>Salary to Hourly Pay Calculator</x:v>
      </x:c>
      <x:c r="C98" s="18" t="str">
        <x:v>usefulverse.com</x:v>
      </x:c>
      <x:c r="D98" s="18" t="str">
        <x:v>https://usefulverse.com/tools/salary-to-hourly-calculator/</x:v>
      </x:c>
      <x:c r="E98" s="22" t="n">
        <x:v>36</x:v>
      </x:c>
      <x:c r="F98" s="18" t="str">
        <x:v>Sí</x:v>
      </x:c>
      <x:c r="G98" s="18" t="str">
        <x:v>Estimate an hourly rate from annual, monthly, weekly or daily pay and your work schedule.</x:v>
      </x:c>
      <x:c r="H98" s="18" t="str">
        <x:v>principal · commit 8dfcc147a3</x:v>
      </x:c>
    </x:row>
    <x:row r="99" ht="48" customHeight="1">
      <x:c r="A99" s="18" t="str">
        <x:v>image-to-text</x:v>
      </x:c>
      <x:c r="B99" s="18" t="str">
        <x:v>Image to Text OCR</x:v>
      </x:c>
      <x:c r="C99" s="18" t="str">
        <x:v>usefulverse.com</x:v>
      </x:c>
      <x:c r="D99" s="18" t="str">
        <x:v>https://usefulverse.com/tools/image-to-text/</x:v>
      </x:c>
      <x:c r="E99" s="22" t="n">
        <x:v>36</x:v>
      </x:c>
      <x:c r="F99" s="18" t="str">
        <x:v>Sí</x:v>
      </x:c>
      <x:c r="G99" s="18" t="str">
        <x:v>Extract selectable text from a JPG, PNG or WebP image with browser-based OCR.</x:v>
      </x:c>
      <x:c r="H99" s="18" t="str">
        <x:v>principal · commit 8dfcc147a3</x:v>
      </x:c>
    </x:row>
    <x:row r="100" ht="48" customHeight="1">
      <x:c r="A100" s="18" t="str">
        <x:v>spreadsheet-converter</x:v>
      </x:c>
      <x:c r="B100" s="18" t="str">
        <x:v>Spreadsheet to CSV Converter</x:v>
      </x:c>
      <x:c r="C100" s="18" t="str">
        <x:v>usefulverse.com</x:v>
      </x:c>
      <x:c r="D100" s="18" t="str">
        <x:v>https://usefulverse.com/tools/spreadsheet-converter/</x:v>
      </x:c>
      <x:c r="E100" s="22" t="n">
        <x:v>36</x:v>
      </x:c>
      <x:c r="F100" s="18" t="str">
        <x:v>Sí</x:v>
      </x:c>
      <x:c r="G100" s="18" t="str">
        <x:v>Convert XLSX spreadsheet sheets to CSV or preview CSV data locally before downloading.</x:v>
      </x:c>
      <x:c r="H100" s="18" t="str">
        <x:v>principal · commit 8dfcc147a3</x:v>
      </x:c>
    </x:row>
    <x:row r="101" ht="48" customHeight="1">
      <x:c r="A101" s="18" t="str">
        <x:v>subtitle-converter</x:v>
      </x:c>
      <x:c r="B101" s="18" t="str">
        <x:v>SRT and VTT Subtitle Converter</x:v>
      </x:c>
      <x:c r="C101" s="18" t="str">
        <x:v>usefulverse.com</x:v>
      </x:c>
      <x:c r="D101" s="18" t="str">
        <x:v>https://usefulverse.com/tools/subtitle-converter/</x:v>
      </x:c>
      <x:c r="E101" s="22" t="n">
        <x:v>36</x:v>
      </x:c>
      <x:c r="F101" s="18" t="str">
        <x:v>Sí</x:v>
      </x:c>
      <x:c r="G101" s="18" t="str">
        <x:v>Convert subtitle files between SRT and WebVTT, adjust timing and preview captions.</x:v>
      </x:c>
      <x:c r="H101" s="18" t="str">
        <x:v>principal · commit 8dfcc147a3</x:v>
      </x:c>
    </x:row>
    <x:row r="102" ht="48" customHeight="1">
      <x:c r="A102" s="18" t="str">
        <x:v>image-collage-maker</x:v>
      </x:c>
      <x:c r="B102" s="18" t="str">
        <x:v>Photo Collage Maker</x:v>
      </x:c>
      <x:c r="C102" s="18" t="str">
        <x:v>usefulverse.com</x:v>
      </x:c>
      <x:c r="D102" s="18" t="str">
        <x:v>https://usefulverse.com/tools/image-collage-maker/</x:v>
      </x:c>
      <x:c r="E102" s="22" t="n">
        <x:v>36</x:v>
      </x:c>
      <x:c r="F102" s="18" t="str">
        <x:v>Sí</x:v>
      </x:c>
      <x:c r="G102" s="18" t="str">
        <x:v>Arrange photos into a simple grid, change spacing and background, then download a collage image.</x:v>
      </x:c>
      <x:c r="H102" s="18" t="str">
        <x:v>principal · commit 8dfcc147a3</x:v>
      </x:c>
    </x:row>
    <x:row r="103" ht="48" customHeight="1">
      <x:c r="A103" s="18" t="str">
        <x:v>image-metadata-remover</x:v>
      </x:c>
      <x:c r="B103" s="18" t="str">
        <x:v>Image Metadata Remover</x:v>
      </x:c>
      <x:c r="C103" s="18" t="str">
        <x:v>usefulverse.com</x:v>
      </x:c>
      <x:c r="D103" s="18" t="str">
        <x:v>https://usefulverse.com/tools/image-metadata-remover/</x:v>
      </x:c>
      <x:c r="E103" s="22" t="n">
        <x:v>36</x:v>
      </x:c>
      <x:c r="F103" s="18" t="str">
        <x:v>Sí</x:v>
      </x:c>
      <x:c r="G103" s="18" t="str">
        <x:v>Create a clean copy of an image without embedded EXIF data such as GPS location.</x:v>
      </x:c>
      <x:c r="H103" s="18" t="str">
        <x:v>principal · commit 8dfcc147a3</x:v>
      </x:c>
    </x:row>
    <x:row r="104" ht="48" customHeight="1">
      <x:c r="A104" s="18" t="str">
        <x:v>gif-maker</x:v>
      </x:c>
      <x:c r="B104" s="18" t="str">
        <x:v>Animated GIF Maker</x:v>
      </x:c>
      <x:c r="C104" s="18" t="str">
        <x:v>usefulverse.com</x:v>
      </x:c>
      <x:c r="D104" s="18" t="str">
        <x:v>https://usefulverse.com/tools/gif-maker/</x:v>
      </x:c>
      <x:c r="E104" s="22" t="n">
        <x:v>36</x:v>
      </x:c>
      <x:c r="F104" s="18" t="str">
        <x:v>Sí</x:v>
      </x:c>
      <x:c r="G104" s="18" t="str">
        <x:v>Create a GIF from 2–12 images or one video up to 8 seconds. Video support varies by browser; GIF colors, memory use and output size depend on the source.</x:v>
      </x:c>
      <x:c r="H104" s="18" t="str">
        <x:v>principal · commit 8dfcc147a3</x:v>
      </x:c>
    </x:row>
    <x:row r="105" ht="48" customHeight="1">
      <x:c r="A105" s="18" t="str">
        <x:v>screen-recorder</x:v>
      </x:c>
      <x:c r="B105" s="18" t="str">
        <x:v>Screen Recorder</x:v>
      </x:c>
      <x:c r="C105" s="18" t="str">
        <x:v>usefulverse.com</x:v>
      </x:c>
      <x:c r="D105" s="18" t="str">
        <x:v>https://usefulverse.com/tools/screen-recorder/</x:v>
      </x:c>
      <x:c r="E105" s="22" t="n">
        <x:v>36</x:v>
      </x:c>
      <x:c r="F105" s="18" t="str">
        <x:v>Sí</x:v>
      </x:c>
      <x:c r="G105" s="18" t="str">
        <x:v>Record a browser tab, window or screen to a video file supported by your browser.</x:v>
      </x:c>
      <x:c r="H105" s="18" t="str">
        <x:v>principal · commit 8dfcc147a3</x:v>
      </x:c>
    </x:row>
    <x:row r="106" ht="48" customHeight="1">
      <x:c r="A106" s="18" t="str">
        <x:v>voice-recorder</x:v>
      </x:c>
      <x:c r="B106" s="18" t="str">
        <x:v>Voice Recorder</x:v>
      </x:c>
      <x:c r="C106" s="18" t="str">
        <x:v>usefulverse.com</x:v>
      </x:c>
      <x:c r="D106" s="18" t="str">
        <x:v>https://usefulverse.com/tools/voice-recorder/</x:v>
      </x:c>
      <x:c r="E106" s="22" t="n">
        <x:v>36</x:v>
      </x:c>
      <x:c r="F106" s="18" t="str">
        <x:v>Sí</x:v>
      </x:c>
      <x:c r="G106" s="18" t="str">
        <x:v>Record voice from a microphone and download the audio format supported by your browser.</x:v>
      </x:c>
      <x:c r="H106" s="18" t="str">
        <x:v>principal · commit 8dfcc147a3</x:v>
      </x:c>
    </x:row>
    <x:row r="107" ht="48" customHeight="1">
      <x:c r="A107" s="18" t="str">
        <x:v>room-planner</x:v>
      </x:c>
      <x:c r="B107" s="18" t="str">
        <x:v>Free Online Room Planner — 2D Floor Plan</x:v>
      </x:c>
      <x:c r="C107" s="18" t="str">
        <x:v>usefulverse.com</x:v>
      </x:c>
      <x:c r="D107" s="18" t="str">
        <x:v>https://usefulverse.com/tools/room-planner/</x:v>
      </x:c>
      <x:c r="E107" s="22" t="n">
        <x:v>36</x:v>
      </x:c>
      <x:c r="F107" s="18" t="str">
        <x:v>Sí</x:v>
      </x:c>
      <x:c r="G107" s="18" t="str">
        <x:v>Arrange furniture in a measured 2D room plan. Move and rotate items, then export an SVG copy locally.</x:v>
      </x:c>
      <x:c r="H107" s="18" t="str">
        <x:v>principal · commit 8dfcc147a3</x:v>
      </x:c>
    </x:row>
    <x:row r="108" ht="48" customHeight="1">
      <x:c r="A108" s="18" t="str">
        <x:v>go-game</x:v>
      </x:c>
      <x:c r="B108" s="18" t="str">
        <x:v>Play Go Online Free — Local 9×9 Board Game</x:v>
      </x:c>
      <x:c r="C108" s="18" t="str">
        <x:v>usefulverse.com</x:v>
      </x:c>
      <x:c r="D108" s="18" t="str">
        <x:v>https://usefulverse.com/tools/go-game/</x:v>
      </x:c>
      <x:c r="E108" s="22" t="n">
        <x:v>36</x:v>
      </x:c>
      <x:c r="F108" s="18" t="str">
        <x:v>Sí</x:v>
      </x:c>
      <x:c r="G108" s="18" t="str">
        <x:v>Play a local two-player 9×9 Go game with captures, legal-move checks, pass turns and simple area scoring.</x:v>
      </x:c>
      <x:c r="H108" s="18" t="str">
        <x:v>principal · commit 8dfcc147a3</x:v>
      </x:c>
    </x:row>
    <x:row r="109" ht="48" customHeight="1">
      <x:c r="A109" s="18" t="str">
        <x:v>mahjong-solitaire</x:v>
      </x:c>
      <x:c r="B109" s="18" t="str">
        <x:v>Mahjong Solitaire Online — Free Matching Puzzle</x:v>
      </x:c>
      <x:c r="C109" s="18" t="str">
        <x:v>usefulverse.com</x:v>
      </x:c>
      <x:c r="D109" s="18" t="str">
        <x:v>https://usefulverse.com/tools/mahjong-solitaire/</x:v>
      </x:c>
      <x:c r="E109" s="22" t="n">
        <x:v>36</x:v>
      </x:c>
      <x:c r="F109" s="18" t="str">
        <x:v>Sí</x:v>
      </x:c>
      <x:c r="G109" s="18" t="str">
        <x:v>Match free tile pairs in a short, randomized Mahjong-style solitaire puzzle. Play locally in your browser.</x:v>
      </x:c>
      <x:c r="H109" s="18" t="str">
        <x:v>principal · commit 8dfcc147a3</x:v>
      </x:c>
    </x:row>
    <x:row r="110" ht="48" customHeight="1">
      <x:c r="A110" s="18" t="str">
        <x:v>periodic-table</x:v>
      </x:c>
      <x:c r="B110" s="18" t="str">
        <x:v>Interactive Periodic Table — Search Elements &amp; Practice</x:v>
      </x:c>
      <x:c r="C110" s="18" t="str">
        <x:v>usefulverse.com</x:v>
      </x:c>
      <x:c r="D110" s="18" t="str">
        <x:v>https://usefulverse.com/tools/periodic-table/</x:v>
      </x:c>
      <x:c r="E110" s="22" t="n">
        <x:v>36</x:v>
      </x:c>
      <x:c r="F110" s="18" t="str">
        <x:v>Sí</x:v>
      </x:c>
      <x:c r="G110" s="18" t="str">
        <x:v>Explore all 118 elements by symbol, name, group or period, compare elements, and practice their symbols.</x:v>
      </x:c>
      <x:c r="H110" s="18" t="str">
        <x:v>principal · commit 8dfcc147a3</x:v>
      </x:c>
    </x:row>
    <x:row r="111" ht="48" customHeight="1">
      <x:c r="A111" s="18" t="str">
        <x:v>audio-editor</x:v>
      </x:c>
      <x:c r="B111" s="18" t="str">
        <x:v>Free Audio Editor Online — Trim, Fade &amp; Export WAV</x:v>
      </x:c>
      <x:c r="C111" s="18" t="str">
        <x:v>usefulverse.com</x:v>
      </x:c>
      <x:c r="D111" s="18" t="str">
        <x:v>https://usefulverse.com/tools/audio-editor/</x:v>
      </x:c>
      <x:c r="E111" s="22" t="n">
        <x:v>36</x:v>
      </x:c>
      <x:c r="F111" s="18" t="str">
        <x:v>Sí</x:v>
      </x:c>
      <x:c r="G111" s="18" t="str">
        <x:v>Trim a short audio clip, set volume and fades, preview the selection, and export a WAV file locally.</x:v>
      </x:c>
      <x:c r="H111" s="18" t="str">
        <x:v>principal · commit 8dfcc147a3</x:v>
      </x:c>
    </x:row>
    <x:row r="112" ht="48" customHeight="1">
      <x:c r="A112" s="18" t="str">
        <x:v>svg-editor</x:v>
      </x:c>
      <x:c r="B112" s="18" t="str">
        <x:v>Free SVG Editor Online</x:v>
      </x:c>
      <x:c r="C112" s="18" t="str">
        <x:v>usefulverse.com</x:v>
      </x:c>
      <x:c r="D112" s="18" t="str">
        <x:v>https://usefulverse.com/tools/svg-editor/</x:v>
      </x:c>
      <x:c r="E112" s="22" t="n">
        <x:v>36</x:v>
      </x:c>
      <x:c r="F112" s="18" t="str">
        <x:v>Sí</x:v>
      </x:c>
      <x:c r="G112" s="18" t="str">
        <x:v>Create a small vector graphic from editable shapes and text, then preview and download the SVG locally.</x:v>
      </x:c>
      <x:c r="H112" s="18" t="str">
        <x:v>principal · commit 8dfcc147a3</x:v>
      </x:c>
    </x:row>
    <x:row r="113" ht="48" customHeight="1">
      <x:c r="A113" s="18" t="str">
        <x:v>seamless-pattern-maker</x:v>
      </x:c>
      <x:c r="B113" s="18" t="str">
        <x:v>Free Seamless Pattern Generator</x:v>
      </x:c>
      <x:c r="C113" s="18" t="str">
        <x:v>usefulverse.com</x:v>
      </x:c>
      <x:c r="D113" s="18" t="str">
        <x:v>https://usefulverse.com/tools/seamless-pattern-maker/</x:v>
      </x:c>
      <x:c r="E113" s="22" t="n">
        <x:v>36</x:v>
      </x:c>
      <x:c r="F113" s="18" t="str">
        <x:v>Sí</x:v>
      </x:c>
      <x:c r="G113" s="18" t="str">
        <x:v>Make a repeatable SVG tile from simple dot, grid, diagonal or cross motifs and download it locally.</x:v>
      </x:c>
      <x:c r="H113" s="18" t="str">
        <x:v>principal · commit 8dfcc147a3</x:v>
      </x:c>
    </x:row>
    <x:row r="114" ht="48" customHeight="1">
      <x:c r="A114" s="18" t="str">
        <x:v>html-form-builder</x:v>
      </x:c>
      <x:c r="B114" s="18" t="str">
        <x:v>Free HTML Form Builder</x:v>
      </x:c>
      <x:c r="C114" s="18" t="str">
        <x:v>usefulverse.com</x:v>
      </x:c>
      <x:c r="D114" s="18" t="str">
        <x:v>https://usefulverse.com/tools/html-form-builder/</x:v>
      </x:c>
      <x:c r="E114" s="22" t="n">
        <x:v>36</x:v>
      </x:c>
      <x:c r="F114" s="18" t="str">
        <x:v>Sí</x:v>
      </x:c>
      <x:c r="G114" s="18" t="str">
        <x:v>Describe common form fields and generate labelled HTML controls you can copy into your own project.</x:v>
      </x:c>
      <x:c r="H114" s="18" t="str">
        <x:v>principal · commit 8dfcc147a3</x:v>
      </x:c>
    </x:row>
    <x:row r="115" ht="48" customHeight="1">
      <x:c r="A115" s="18" t="str">
        <x:v>html-email-builder</x:v>
      </x:c>
      <x:c r="B115" s="18" t="str">
        <x:v>Free HTML Email Template Builder</x:v>
      </x:c>
      <x:c r="C115" s="18" t="str">
        <x:v>usefulverse.com</x:v>
      </x:c>
      <x:c r="D115" s="18" t="str">
        <x:v>https://usefulverse.com/tools/html-email-builder/</x:v>
      </x:c>
      <x:c r="E115" s="22" t="n">
        <x:v>36</x:v>
      </x:c>
      <x:c r="F115" s="18" t="str">
        <x:v>Sí</x:v>
      </x:c>
      <x:c r="G115" s="18" t="str">
        <x:v>Build a simple table-based HTML email with your own text, button and safe HTTPS link.</x:v>
      </x:c>
      <x:c r="H115" s="18" t="str">
        <x:v>principal · commit 8dfcc147a3</x:v>
      </x:c>
    </x:row>
    <x:row r="116" ht="48" customHeight="1">
      <x:c r="A116" s="18" t="str">
        <x:v>color-vision-simulator</x:v>
      </x:c>
      <x:c r="B116" s="18" t="str">
        <x:v>Free Color Blindness Simulator</x:v>
      </x:c>
      <x:c r="C116" s="18" t="str">
        <x:v>usefulverse.com</x:v>
      </x:c>
      <x:c r="D116" s="18" t="str">
        <x:v>https://usefulverse.com/tools/color-vision-simulator/</x:v>
      </x:c>
      <x:c r="E116" s="22" t="n">
        <x:v>36</x:v>
      </x:c>
      <x:c r="F116" s="18" t="str">
        <x:v>Sí</x:v>
      </x:c>
      <x:c r="G116" s="18" t="str">
        <x:v>Preview how an image may look with common color vision deficiencies using a local browser-only simulation.</x:v>
      </x:c>
      <x:c r="H116" s="18" t="str">
        <x:v>principal · commit 8dfcc147a3</x:v>
      </x:c>
    </x:row>
    <x:row r="117" ht="48" customHeight="1">
      <x:c r="A117" s="18" t="str">
        <x:v>weekly-meal-planner</x:v>
      </x:c>
      <x:c r="B117" s="18" t="str">
        <x:v>Free Weekly Meal Planner</x:v>
      </x:c>
      <x:c r="C117" s="18" t="str">
        <x:v>usefulverse.com</x:v>
      </x:c>
      <x:c r="D117" s="18" t="str">
        <x:v>https://usefulverse.com/tools/weekly-meal-planner/</x:v>
      </x:c>
      <x:c r="E117" s="22" t="n">
        <x:v>36</x:v>
      </x:c>
      <x:c r="F117" s="18" t="str">
        <x:v>Sí</x:v>
      </x:c>
      <x:c r="G117" s="18" t="str">
        <x:v>Plan breakfast, lunch, dinner and snacks for the week, then build one shopping list from your ingredients.</x:v>
      </x:c>
      <x:c r="H117" s="18" t="str">
        <x:v>principal · commit 8dfcc147a3</x:v>
      </x:c>
    </x:row>
    <x:row r="118" ht="48" customHeight="1">
      <x:c r="A118" s="18" t="str">
        <x:v>reading-log</x:v>
      </x:c>
      <x:c r="B118" s="18" t="str">
        <x:v>Free Reading Log</x:v>
      </x:c>
      <x:c r="C118" s="18" t="str">
        <x:v>usefulverse.com</x:v>
      </x:c>
      <x:c r="D118" s="18" t="str">
        <x:v>https://usefulverse.com/tools/reading-log/</x:v>
      </x:c>
      <x:c r="E118" s="22" t="n">
        <x:v>36</x:v>
      </x:c>
      <x:c r="F118" s="18" t="str">
        <x:v>Sí</x:v>
      </x:c>
      <x:c r="G118" s="18" t="str">
        <x:v>Keep a private reading log, track book progress and compare weekly pages with a goal.</x:v>
      </x:c>
      <x:c r="H118" s="18" t="str">
        <x:v>principal · commit 8dfcc147a3</x:v>
      </x:c>
    </x:row>
    <x:row r="119" ht="48" customHeight="1">
      <x:c r="A119" s="18" t="str">
        <x:v>time-tracker</x:v>
      </x:c>
      <x:c r="B119" s="18" t="str">
        <x:v>Free Time Tracker</x:v>
      </x:c>
      <x:c r="C119" s="18" t="str">
        <x:v>usefulverse.com</x:v>
      </x:c>
      <x:c r="D119" s="18" t="str">
        <x:v>https://usefulverse.com/tools/time-tracker/</x:v>
      </x:c>
      <x:c r="E119" s="22" t="n">
        <x:v>36</x:v>
      </x:c>
      <x:c r="F119" s="18" t="str">
        <x:v>Sí</x:v>
      </x:c>
      <x:c r="G119" s="18" t="str">
        <x:v>Track work sessions by task or project, pause and resume timers, then save locally or export a CSV.</x:v>
      </x:c>
      <x:c r="H119" s="18" t="str">
        <x:v>principal · commit 8dfcc147a3</x:v>
      </x:c>
    </x:row>
    <x:row r="120" ht="48" customHeight="1">
      <x:c r="A120" s="18" t="str">
        <x:v>habit-tracker</x:v>
      </x:c>
      <x:c r="B120" s="18" t="str">
        <x:v>Free Habit Tracker</x:v>
      </x:c>
      <x:c r="C120" s="18" t="str">
        <x:v>usefulverse.com</x:v>
      </x:c>
      <x:c r="D120" s="18" t="str">
        <x:v>https://usefulverse.com/tools/habit-tracker/</x:v>
      </x:c>
      <x:c r="E120" s="22" t="n">
        <x:v>36</x:v>
      </x:c>
      <x:c r="F120" s="18" t="str">
        <x:v>Sí</x:v>
      </x:c>
      <x:c r="G120" s="18" t="str">
        <x:v>Track daily habits with a private, free habit tracker. Mark past 35 days, review streaks and save or export a backup on your device.</x:v>
      </x:c>
      <x:c r="H120" s="18" t="str">
        <x:v>principal · commit 8dfcc147a3</x:v>
      </x:c>
    </x:row>
    <x:row r="121" ht="48" customHeight="1">
      <x:c r="A121" s="18" t="str">
        <x:v>task-list</x:v>
      </x:c>
      <x:c r="B121" s="18" t="str">
        <x:v>Task List</x:v>
      </x:c>
      <x:c r="C121" s="18" t="str">
        <x:v>usefulverse.com</x:v>
      </x:c>
      <x:c r="D121" s="18" t="str">
        <x:v>https://usefulverse.com/tools/task-list/</x:v>
      </x:c>
      <x:c r="E121" s="22" t="n">
        <x:v>36</x:v>
      </x:c>
      <x:c r="F121" s="18" t="str">
        <x:v>Sí</x:v>
      </x:c>
      <x:c r="G121" s="18" t="str">
        <x:v>A free task list with priorities, optional due dates and subtasks. Filter active or completed work, save a local copy, or export your tasks.</x:v>
      </x:c>
      <x:c r="H121" s="18" t="str">
        <x:v>principal · commit 8dfcc147a3</x:v>
      </x:c>
    </x:row>
    <x:row r="122" ht="48" customHeight="1">
      <x:c r="A122" s="18" t="str">
        <x:v>kanban-board</x:v>
      </x:c>
      <x:c r="B122" s="18" t="str">
        <x:v>Kanban Board</x:v>
      </x:c>
      <x:c r="C122" s="18" t="str">
        <x:v>usefulverse.com</x:v>
      </x:c>
      <x:c r="D122" s="18" t="str">
        <x:v>https://usefulverse.com/tools/kanban-board/</x:v>
      </x:c>
      <x:c r="E122" s="22" t="n">
        <x:v>36</x:v>
      </x:c>
      <x:c r="F122" s="18" t="str">
        <x:v>Sí</x:v>
      </x:c>
      <x:c r="G122" s="18" t="str">
        <x:v>Move cards through custom workflow columns with a free online Kanban board. Undo changes, save a local copy, or export a JSON backup.</x:v>
      </x:c>
      <x:c r="H122" s="18" t="str">
        <x:v>principal · commit 8dfcc147a3</x:v>
      </x:c>
    </x:row>
    <x:row r="123" ht="48" customHeight="1">
      <x:c r="A123" s="18" t="str">
        <x:v>reading-speed-test</x:v>
      </x:c>
      <x:c r="B123" s="18" t="str">
        <x:v>Reading Speed Test Online</x:v>
      </x:c>
      <x:c r="C123" s="18" t="str">
        <x:v>usefulverse.com</x:v>
      </x:c>
      <x:c r="D123" s="18" t="str">
        <x:v>https://usefulverse.com/tools/reading-speed-test/</x:v>
      </x:c>
      <x:c r="E123" s="22" t="n">
        <x:v>36</x:v>
      </x:c>
      <x:c r="F123" s="18" t="str">
        <x:v>Sí</x:v>
      </x:c>
      <x:c r="G123" s="18" t="str">
        <x:v>Try a free online reading speed test. Read a short passage, see an estimated words-per-minute pace, and optionally rate your own comprehension. Text stays in your browser.</x:v>
      </x:c>
      <x:c r="H123" s="18" t="str">
        <x:v>principal · commit 8dfcc147a3</x:v>
      </x:c>
    </x:row>
    <x:row r="124" ht="48" customHeight="1">
      <x:c r="A124" s="18" t="str">
        <x:v>household-budget-planner</x:v>
      </x:c>
      <x:c r="B124" s="18" t="str">
        <x:v>Household Budget Planner</x:v>
      </x:c>
      <x:c r="C124" s="18" t="str">
        <x:v>usefulverse.com</x:v>
      </x:c>
      <x:c r="D124" s="18" t="str">
        <x:v>https://usefulverse.com/tools/household-budget-planner/</x:v>
      </x:c>
      <x:c r="E124" s="22" t="n">
        <x:v>36</x:v>
      </x:c>
      <x:c r="F124" s="18" t="str">
        <x:v>Sí</x:v>
      </x:c>
      <x:c r="G124" s="18" t="str">
        <x:v>Track monthly household income and expenses by category, then see your balance and export a local CSV.</x:v>
      </x:c>
      <x:c r="H124" s="18" t="str">
        <x:v>principal · commit 8dfcc147a3</x:v>
      </x:c>
    </x:row>
    <x:row r="125" ht="48" customHeight="1">
      <x:c r="A125" s="18" t="str">
        <x:v>seating-chart-maker</x:v>
      </x:c>
      <x:c r="B125" s="18" t="str">
        <x:v>Seating Chart Maker</x:v>
      </x:c>
      <x:c r="C125" s="18" t="str">
        <x:v>usefulverse.com</x:v>
      </x:c>
      <x:c r="D125" s="18" t="str">
        <x:v>https://usefulverse.com/tools/seating-chart-maker/</x:v>
      </x:c>
      <x:c r="E125" s="22" t="n">
        <x:v>36</x:v>
      </x:c>
      <x:c r="F125" s="18" t="str">
        <x:v>Sí</x:v>
      </x:c>
      <x:c r="G125" s="18" t="str">
        <x:v>Arrange guests at tables, adjust seats by hand and save or export your plan on this device.</x:v>
      </x:c>
      <x:c r="H125" s="18" t="str">
        <x:v>principal · commit 8dfcc147a3</x:v>
      </x:c>
    </x:row>
    <x:row r="126" ht="48" customHeight="1">
      <x:c r="A126" s="18" t="str">
        <x:v>gantt-chart-maker</x:v>
      </x:c>
      <x:c r="B126" s="18" t="str">
        <x:v>Gantt Chart Maker</x:v>
      </x:c>
      <x:c r="C126" s="18" t="str">
        <x:v>usefulverse.com</x:v>
      </x:c>
      <x:c r="D126" s="18" t="str">
        <x:v>https://usefulverse.com/tools/gantt-chart-maker/</x:v>
      </x:c>
      <x:c r="E126" s="22" t="n">
        <x:v>36</x:v>
      </x:c>
      <x:c r="F126" s="18" t="str">
        <x:v>Sí</x:v>
      </x:c>
      <x:c r="G126" s="18" t="str">
        <x:v>Turn dated tasks into a clear project timeline with optional dependencies, local saving and CSV export.</x:v>
      </x:c>
      <x:c r="H126" s="18" t="str">
        <x:v>principal · commit 8dfcc147a3</x:v>
      </x:c>
    </x:row>
    <x:row r="127" ht="48" customHeight="1">
      <x:c r="A127" s="18" t="str">
        <x:v>sprite-sheet-maker</x:v>
      </x:c>
      <x:c r="B127" s="18" t="str">
        <x:v>Sprite Sheet Maker</x:v>
      </x:c>
      <x:c r="C127" s="18" t="str">
        <x:v>usefulverse.com</x:v>
      </x:c>
      <x:c r="D127" s="18" t="str">
        <x:v>https://usefulverse.com/tools/sprite-sheet-maker/</x:v>
      </x:c>
      <x:c r="E127" s="22" t="n">
        <x:v>36</x:v>
      </x:c>
      <x:c r="F127" s="18" t="str">
        <x:v>Sí</x:v>
      </x:c>
      <x:c r="G127" s="18" t="str">
        <x:v>Arrange image frames into a PNG sprite sheet and export frame coordinates as JSON or CSS, locally in your browser.</x:v>
      </x:c>
      <x:c r="H127" s="18" t="str">
        <x:v>principal · commit 8dfcc147a3</x:v>
      </x:c>
    </x:row>
    <x:row r="128" ht="48" customHeight="1">
      <x:c r="A128" s="18" t="str">
        <x:v>font-tester</x:v>
      </x:c>
      <x:c r="B128" s="18" t="str">
        <x:v>Free Font Tester Online</x:v>
      </x:c>
      <x:c r="C128" s="18" t="str">
        <x:v>usefulverse.com</x:v>
      </x:c>
      <x:c r="D128" s="18" t="str">
        <x:v>https://usefulverse.com/tools/font-tester/</x:v>
      </x:c>
      <x:c r="E128" s="22" t="n">
        <x:v>36</x:v>
      </x:c>
      <x:c r="F128" s="18" t="str">
        <x:v>Sí</x:v>
      </x:c>
      <x:c r="G128" s="18" t="str">
        <x:v>Preview WOFF, WOFF2, TTF or OTF fonts with your own text and size in your browser.</x:v>
      </x:c>
      <x:c r="H128" s="18" t="str">
        <x:v>principal · commit 8dfcc147a3</x:v>
      </x:c>
    </x:row>
    <x:row r="129" ht="48" customHeight="1">
      <x:c r="A129" s="18" t="str">
        <x:v>kakuro</x:v>
      </x:c>
      <x:c r="B129" s="18" t="str">
        <x:v>Free Kakuro Sum Puzzle</x:v>
      </x:c>
      <x:c r="C129" s="18" t="str">
        <x:v>usefulverse.com</x:v>
      </x:c>
      <x:c r="D129" s="18" t="str">
        <x:v>https://usefulverse.com/tools/kakuro/</x:v>
      </x:c>
      <x:c r="E129" s="22" t="n">
        <x:v>36</x:v>
      </x:c>
      <x:c r="F129" s="18" t="str">
        <x:v>Sí</x:v>
      </x:c>
      <x:c r="G129" s="18" t="str">
        <x:v>Play a free Kakuro-style cross-sum puzzle. Fill a 4 × 4 grid with digits 1–9 to match row and column sums.</x:v>
      </x:c>
      <x:c r="H129" s="18" t="str">
        <x:v>principal · commit 8dfcc147a3</x:v>
      </x:c>
    </x:row>
    <x:row r="130" ht="48" customHeight="1">
      <x:c r="A130" s="18" t="str">
        <x:v>battleship</x:v>
      </x:c>
      <x:c r="B130" s="18" t="str">
        <x:v>Free Battleship Game Online</x:v>
      </x:c>
      <x:c r="C130" s="18" t="str">
        <x:v>usefulverse.com</x:v>
      </x:c>
      <x:c r="D130" s="18" t="str">
        <x:v>https://usefulverse.com/tools/battleship/</x:v>
      </x:c>
      <x:c r="E130" s="22" t="n">
        <x:v>36</x:v>
      </x:c>
      <x:c r="F130" s="18" t="str">
        <x:v>Sí</x:v>
      </x:c>
      <x:c r="G130" s="18" t="str">
        <x:v>Play a free local Battleship-style game against a simple computer opponent. Place a small fleet automatically and take turns guessing hidden ship locations.</x:v>
      </x:c>
      <x:c r="H130" s="18" t="str">
        <x:v>principal · commit 8dfcc147a3</x:v>
      </x:c>
    </x:row>
    <x:row r="131" ht="48" customHeight="1">
      <x:c r="A131" s="18" t="str">
        <x:v>drum-machine</x:v>
      </x:c>
      <x:c r="B131" s="18" t="str">
        <x:v>Free Online Drum Machine</x:v>
      </x:c>
      <x:c r="C131" s="18" t="str">
        <x:v>usefulverse.com</x:v>
      </x:c>
      <x:c r="D131" s="18" t="str">
        <x:v>https://usefulverse.com/tools/drum-machine/</x:v>
      </x:c>
      <x:c r="E131" s="22" t="n">
        <x:v>36</x:v>
      </x:c>
      <x:c r="F131" s="18" t="str">
        <x:v>Sí</x:v>
      </x:c>
      <x:c r="G131" s="18" t="str">
        <x:v>Create a drum beat with a 16-step sequencer, adjust the tempo and play it locally in your browser.</x:v>
      </x:c>
      <x:c r="H131" s="18" t="str">
        <x:v>principal · commit 8dfcc147a3</x:v>
      </x:c>
    </x:row>
    <x:row r="132" ht="48" customHeight="1">
      <x:c r="A132" s="18" t="str">
        <x:v>online-sequencer</x:v>
      </x:c>
      <x:c r="B132" s="18" t="str">
        <x:v>Free Online Music Sequencer</x:v>
      </x:c>
      <x:c r="C132" s="18" t="str">
        <x:v>usefulverse.com</x:v>
      </x:c>
      <x:c r="D132" s="18" t="str">
        <x:v>https://usefulverse.com/tools/online-sequencer/</x:v>
      </x:c>
      <x:c r="E132" s="22" t="n">
        <x:v>36</x:v>
      </x:c>
      <x:c r="F132" s="18" t="str">
        <x:v>Sí</x:v>
      </x:c>
      <x:c r="G132" s="18" t="str">
        <x:v>Compose a short melody with a 16-step piano-roll sequencer. Play and save your pattern locally in the browser.</x:v>
      </x:c>
      <x:c r="H132" s="18" t="str">
        <x:v>principal · commit 8dfcc147a3</x:v>
      </x:c>
    </x:row>
    <x:row r="133" ht="48" customHeight="1">
      <x:c r="A133" s="18" t="str">
        <x:v>song-key-finder</x:v>
      </x:c>
      <x:c r="B133" s="18" t="str">
        <x:v>Song Key Finder from Audio — Free Local Analysis</x:v>
      </x:c>
      <x:c r="C133" s="18" t="str">
        <x:v>usefulverse.com</x:v>
      </x:c>
      <x:c r="D133" s="18" t="str">
        <x:v>https://usefulverse.com/tools/song-key-finder/</x:v>
      </x:c>
      <x:c r="E133" s="22" t="n">
        <x:v>36</x:v>
      </x:c>
      <x:c r="F133" s="18" t="str">
        <x:v>Sí</x:v>
      </x:c>
      <x:c r="G133" s="18" t="str">
        <x:v>Estimate a likely musical key from an audio file in your browser and compare nearby alternatives.</x:v>
      </x:c>
      <x:c r="H133" s="18" t="str">
        <x:v>principal · commit 8dfcc147a3</x:v>
      </x:c>
    </x:row>
    <x:row r="134" ht="48" customHeight="1">
      <x:c r="A134" s="18" t="str">
        <x:v>audio-spectrogram</x:v>
      </x:c>
      <x:c r="B134" s="18" t="str">
        <x:v>Audio Spectrogram — View Sound Frequencies Locally</x:v>
      </x:c>
      <x:c r="C134" s="18" t="str">
        <x:v>usefulverse.com</x:v>
      </x:c>
      <x:c r="D134" s="18" t="str">
        <x:v>https://usefulverse.com/tools/audio-spectrogram/</x:v>
      </x:c>
      <x:c r="E134" s="22" t="n">
        <x:v>36</x:v>
      </x:c>
      <x:c r="F134" s="18" t="str">
        <x:v>Sí</x:v>
      </x:c>
      <x:c r="G134" s="18" t="str">
        <x:v>Visualize the frequency content of a short audio file with a local spectrogram in your browser.</x:v>
      </x:c>
      <x:c r="H134" s="18" t="str">
        <x:v>principal · commit 8dfcc147a3</x:v>
      </x:c>
    </x:row>
    <x:row r="135" ht="48" customHeight="1">
      <x:c r="A135" s="18" t="str">
        <x:v>css-animation-generator</x:v>
      </x:c>
      <x:c r="B135" s="18" t="str">
        <x:v>CSS Animation Generator</x:v>
      </x:c>
      <x:c r="C135" s="18" t="str">
        <x:v>usefulverse.com</x:v>
      </x:c>
      <x:c r="D135" s="18" t="str">
        <x:v>https://usefulverse.com/tools/css-animation-generator/</x:v>
      </x:c>
      <x:c r="E135" s="22" t="n">
        <x:v>36</x:v>
      </x:c>
      <x:c r="F135" s="18" t="str">
        <x:v>Sí</x:v>
      </x:c>
      <x:c r="G135" s="18" t="str">
        <x:v>Create and preview a CSS keyframe animation. Adjust motion, timing, duration and repetition, then copy the CSS.</x:v>
      </x:c>
      <x:c r="H135" s="18" t="str">
        <x:v>principal · commit 8dfcc147a3</x:v>
      </x:c>
    </x:row>
    <x:row r="136" ht="48" customHeight="1">
      <x:c r="A136" s="18" t="str">
        <x:v>css-clip-path-editor</x:v>
      </x:c>
      <x:c r="B136" s="18" t="str">
        <x:v>CSS Clip-Path Editor</x:v>
      </x:c>
      <x:c r="C136" s="18" t="str">
        <x:v>usefulverse.com</x:v>
      </x:c>
      <x:c r="D136" s="18" t="str">
        <x:v>https://usefulverse.com/tools/css-clip-path-editor/</x:v>
      </x:c>
      <x:c r="E136" s="22" t="n">
        <x:v>36</x:v>
      </x:c>
      <x:c r="F136" s="18" t="str">
        <x:v>Sí</x:v>
      </x:c>
      <x:c r="G136" s="18" t="str">
        <x:v>Preview common CSS clip-path shapes and copy the generated CSS for a clipped element.</x:v>
      </x:c>
      <x:c r="H136" s="18" t="str">
        <x:v>principal · commit 8dfcc147a3</x:v>
      </x:c>
    </x:row>
    <x:row r="137" ht="48" customHeight="1">
      <x:c r="A137" s="18" t="str">
        <x:v>css-filter-generator</x:v>
      </x:c>
      <x:c r="B137" s="18" t="str">
        <x:v>CSS Filter Generator</x:v>
      </x:c>
      <x:c r="C137" s="18" t="str">
        <x:v>usefulverse.com</x:v>
      </x:c>
      <x:c r="D137" s="18" t="str">
        <x:v>https://usefulverse.com/tools/css-filter-generator/</x:v>
      </x:c>
      <x:c r="E137" s="22" t="n">
        <x:v>36</x:v>
      </x:c>
      <x:c r="F137" s="18" t="str">
        <x:v>Sí</x:v>
      </x:c>
      <x:c r="G137" s="18" t="str">
        <x:v>Adjust CSS image-filter values, preview the effect and copy the generated filter rule.</x:v>
      </x:c>
      <x:c r="H137" s="18" t="str">
        <x:v>principal · commit 8dfcc147a3</x:v>
      </x:c>
    </x:row>
    <x:row r="138" ht="48" customHeight="1">
      <x:c r="A138" s="18" t="str">
        <x:v>api-request-builder</x:v>
      </x:c>
      <x:c r="B138" s="18" t="str">
        <x:v>API Request Builder — cURL &amp; Fetch</x:v>
      </x:c>
      <x:c r="C138" s="18" t="str">
        <x:v>usefulverse.com</x:v>
      </x:c>
      <x:c r="D138" s="18" t="str">
        <x:v>https://usefulverse.com/tools/api-request-builder/</x:v>
      </x:c>
      <x:c r="E138" s="22" t="n">
        <x:v>36</x:v>
      </x:c>
      <x:c r="F138" s="18" t="str">
        <x:v>Sí</x:v>
      </x:c>
      <x:c r="G138" s="18" t="str">
        <x:v>Build a cURL command or JavaScript Fetch snippet from an HTTP method, URL, headers and body. Nothing is sent.</x:v>
      </x:c>
      <x:c r="H138" s="18" t="str">
        <x:v>principal · commit 8dfcc147a3</x:v>
      </x:c>
    </x:row>
    <x:row r="139" ht="48" customHeight="1">
      <x:c r="A139" s="18" t="str">
        <x:v>html-table-generator</x:v>
      </x:c>
      <x:c r="B139" s="18" t="str">
        <x:v>HTML Table Generator from TSV</x:v>
      </x:c>
      <x:c r="C139" s="18" t="str">
        <x:v>usefulverse.com</x:v>
      </x:c>
      <x:c r="D139" s="18" t="str">
        <x:v>https://usefulverse.com/tools/html-table-generator/</x:v>
      </x:c>
      <x:c r="E139" s="22" t="n">
        <x:v>36</x:v>
      </x:c>
      <x:c r="F139" s="18" t="str">
        <x:v>Sí</x:v>
      </x:c>
      <x:c r="G139" s="18" t="str">
        <x:v>Turn tab-separated rows into an escaped, semantic HTML table with optional column headings and caption.</x:v>
      </x:c>
      <x:c r="H139" s="18" t="str">
        <x:v>principal · commit 8dfcc147a3</x:v>
      </x:c>
    </x:row>
    <x:row r="140" ht="48" customHeight="1">
      <x:c r="A140" s="18" t="str">
        <x:v>pwa-manifest-generator</x:v>
      </x:c>
      <x:c r="B140" s="18" t="str">
        <x:v>PWA Manifest Generator</x:v>
      </x:c>
      <x:c r="C140" s="18" t="str">
        <x:v>usefulverse.com</x:v>
      </x:c>
      <x:c r="D140" s="18" t="str">
        <x:v>https://usefulverse.com/tools/pwa-manifest-generator/</x:v>
      </x:c>
      <x:c r="E140" s="22" t="n">
        <x:v>36</x:v>
      </x:c>
      <x:c r="F140" s="18" t="str">
        <x:v>Sí</x:v>
      </x:c>
      <x:c r="G140" s="18" t="str">
        <x:v>Create a web app manifest JSON file with a same-site start URL, display mode and theme colors.</x:v>
      </x:c>
      <x:c r="H140" s="18" t="str">
        <x:v>principal · commit 8dfcc147a3</x:v>
      </x:c>
    </x:row>
    <x:row r="141" ht="48" customHeight="1">
      <x:c r="A141" s="18" t="str">
        <x:v>connect-four</x:v>
      </x:c>
      <x:c r="B141" s="18" t="str">
        <x:v>Four-in-a-Row Online — Local Two-Player Game</x:v>
      </x:c>
      <x:c r="C141" s="18" t="str">
        <x:v>usefulverse.com</x:v>
      </x:c>
      <x:c r="D141" s="18" t="str">
        <x:v>https://usefulverse.com/tools/connect-four/</x:v>
      </x:c>
      <x:c r="E141" s="22" t="n">
        <x:v>36</x:v>
      </x:c>
      <x:c r="F141" s="18" t="str">
        <x:v>Sí</x:v>
      </x:c>
      <x:c r="G141" s="18" t="str">
        <x:v>Play a four-in-a-row game with another person on the same device. Drop colored discs, make a line of four and start a fresh board anytime.</x:v>
      </x:c>
      <x:c r="H141" s="18" t="str">
        <x:v>principal · commit 8dfcc147a3</x:v>
      </x:c>
    </x:row>
    <x:row r="142" ht="48" customHeight="1">
      <x:c r="A142" s="18" t="str">
        <x:v>reversi</x:v>
      </x:c>
      <x:c r="B142" s="18" t="str">
        <x:v>Reversi Online — Local Two-Player Disk Game</x:v>
      </x:c>
      <x:c r="C142" s="18" t="str">
        <x:v>usefulverse.com</x:v>
      </x:c>
      <x:c r="D142" s="18" t="str">
        <x:v>https://usefulverse.com/tools/reversi/</x:v>
      </x:c>
      <x:c r="E142" s="22" t="n">
        <x:v>36</x:v>
      </x:c>
      <x:c r="F142" s="18" t="str">
        <x:v>Sí</x:v>
      </x:c>
      <x:c r="G142" s="18" t="str">
        <x:v>Play local two-player Reversi with legal moves, forced passes and a final disc count. No account or server match is needed.</x:v>
      </x:c>
      <x:c r="H142" s="18" t="str">
        <x:v>principal · commit 8dfcc147a3</x:v>
      </x:c>
    </x:row>
    <x:row r="143" ht="48" customHeight="1">
      <x:c r="A143" s="18" t="str">
        <x:v>checkers</x:v>
      </x:c>
      <x:c r="B143" s="18" t="str">
        <x:v>Checkers Online — Free Local Two-Player Game</x:v>
      </x:c>
      <x:c r="C143" s="18" t="str">
        <x:v>usefulverse.com</x:v>
      </x:c>
      <x:c r="D143" s="18" t="str">
        <x:v>https://usefulverse.com/tools/checkers/</x:v>
      </x:c>
      <x:c r="E143" s="22" t="n">
        <x:v>36</x:v>
      </x:c>
      <x:c r="F143" s="18" t="str">
        <x:v>Sí</x:v>
      </x:c>
      <x:c r="G143" s="18" t="str">
        <x:v>Play American-style checkers on one device with mandatory captures, multi-jump turns, kings and a new-game button.</x:v>
      </x:c>
      <x:c r="H143" s="18" t="str">
        <x:v>principal · commit 8dfcc147a3</x:v>
      </x:c>
    </x:row>
    <x:row r="144" ht="48" customHeight="1">
      <x:c r="A144" s="18" t="str">
        <x:v>music-scale-finder</x:v>
      </x:c>
      <x:c r="B144" s="18" t="str">
        <x:v>Music Scale Finder</x:v>
      </x:c>
      <x:c r="C144" s="18" t="str">
        <x:v>usefulverse.com</x:v>
      </x:c>
      <x:c r="D144" s="18" t="str">
        <x:v>https://usefulverse.com/tools/music-scale-finder/</x:v>
      </x:c>
      <x:c r="E144" s="22" t="n">
        <x:v>36</x:v>
      </x:c>
      <x:c r="F144" s="18" t="str">
        <x:v>Sí</x:v>
      </x:c>
      <x:c r="G144" s="18" t="str">
        <x:v>Find the notes and degrees in common musical scales, then hear them played locally in your browser.</x:v>
      </x:c>
      <x:c r="H144" s="18" t="str">
        <x:v>principal · commit 8dfcc147a3</x:v>
      </x:c>
    </x:row>
    <x:row r="145" ht="48" customHeight="1">
      <x:c r="A145" s="18" t="str">
        <x:v>fretboard-trainer</x:v>
      </x:c>
      <x:c r="B145" s="18" t="str">
        <x:v>Guitar Fretboard Note Trainer</x:v>
      </x:c>
      <x:c r="C145" s="18" t="str">
        <x:v>usefulverse.com</x:v>
      </x:c>
      <x:c r="D145" s="18" t="str">
        <x:v>https://usefulverse.com/tools/fretboard-trainer/</x:v>
      </x:c>
      <x:c r="E145" s="22" t="n">
        <x:v>36</x:v>
      </x:c>
      <x:c r="F145" s="18" t="str">
        <x:v>Sí</x:v>
      </x:c>
      <x:c r="G145" s="18" t="str">
        <x:v>Practice naming notes on the guitar fretboard with short randomized questions and a local score.</x:v>
      </x:c>
      <x:c r="H145" s="18" t="str">
        <x:v>principal · commit 8dfcc147a3</x:v>
      </x:c>
    </x:row>
    <x:row r="146" ht="48" customHeight="1">
      <x:c r="A146" s="18" t="str">
        <x:v>bpm-detector</x:v>
      </x:c>
      <x:c r="B146" s="18" t="str">
        <x:v>BPM Detector</x:v>
      </x:c>
      <x:c r="C146" s="18" t="str">
        <x:v>usefulverse.com</x:v>
      </x:c>
      <x:c r="D146" s="18" t="str">
        <x:v>https://usefulverse.com/tools/bpm-detector/</x:v>
      </x:c>
      <x:c r="E146" s="22" t="n">
        <x:v>36</x:v>
      </x:c>
      <x:c r="F146" s="18" t="str">
        <x:v>Sí</x:v>
      </x:c>
      <x:c r="G146" s="18" t="str">
        <x:v>Estimate a song’s tempo from an audio file locally, compare nearby tempo guesses and tap along to check the beat.</x:v>
      </x:c>
      <x:c r="H146" s="18" t="str">
        <x:v>principal · commit 8dfcc147a3</x:v>
      </x:c>
    </x:row>
    <x:row r="147" ht="48" customHeight="1">
      <x:c r="A147" s="18" t="str">
        <x:v>ear-training</x:v>
      </x:c>
      <x:c r="B147" s="18" t="str">
        <x:v>Ear Training</x:v>
      </x:c>
      <x:c r="C147" s="18" t="str">
        <x:v>usefulverse.com</x:v>
      </x:c>
      <x:c r="D147" s="18" t="str">
        <x:v>https://usefulverse.com/tools/ear-training/</x:v>
      </x:c>
      <x:c r="E147" s="22" t="n">
        <x:v>36</x:v>
      </x:c>
      <x:c r="F147" s="18" t="str">
        <x:v>Sí</x:v>
      </x:c>
      <x:c r="G147" s="18" t="str">
        <x:v>Practice identifying musical intervals with locally synthesized tones and adjustable ascending or descending rounds.</x:v>
      </x:c>
      <x:c r="H147" s="18" t="str">
        <x:v>principal · commit 8dfcc147a3</x:v>
      </x:c>
    </x:row>
    <x:row r="148" ht="48" customHeight="1">
      <x:c r="A148" s="18" t="str">
        <x:v>chess-clock</x:v>
      </x:c>
      <x:c r="B148" s="18" t="str">
        <x:v>Chess Clock</x:v>
      </x:c>
      <x:c r="C148" s="18" t="str">
        <x:v>usefulverse.com</x:v>
      </x:c>
      <x:c r="D148" s="18" t="str">
        <x:v>https://usefulverse.com/tools/chess-clock/</x:v>
      </x:c>
      <x:c r="E148" s="22" t="n">
        <x:v>36</x:v>
      </x:c>
      <x:c r="F148" s="18" t="str">
        <x:v>Sí</x:v>
      </x:c>
      <x:c r="G148" s="18" t="str">
        <x:v>Use a two-player chess clock with configurable starting time and per-move increment.</x:v>
      </x:c>
      <x:c r="H148" s="18" t="str">
        <x:v>principal · commit 8dfcc147a3</x:v>
      </x:c>
    </x:row>
    <x:row r="149" ht="48" customHeight="1">
      <x:c r="A149" s="18" t="str">
        <x:v>tournament-bracket-generator</x:v>
      </x:c>
      <x:c r="B149" s="18" t="str">
        <x:v>Tournament Bracket Generator</x:v>
      </x:c>
      <x:c r="C149" s="18" t="str">
        <x:v>usefulverse.com</x:v>
      </x:c>
      <x:c r="D149" s="18" t="str">
        <x:v>https://usefulverse.com/tools/tournament-bracket-generator/</x:v>
      </x:c>
      <x:c r="E149" s="22" t="n">
        <x:v>36</x:v>
      </x:c>
      <x:c r="F149" s="18" t="str">
        <x:v>Sí</x:v>
      </x:c>
      <x:c r="G149" s="18" t="str">
        <x:v>Create a single-elimination bracket for 2 to 64 participants, advance winners and handle byes automatically.</x:v>
      </x:c>
      <x:c r="H149" s="18" t="str">
        <x:v>principal · commit 8dfcc147a3</x:v>
      </x:c>
    </x:row>
    <x:row r="150" ht="48" customHeight="1">
      <x:c r="A150" s="18" t="str">
        <x:v>mental-math-practice</x:v>
      </x:c>
      <x:c r="B150" s="18" t="str">
        <x:v>Mental Math Practice</x:v>
      </x:c>
      <x:c r="C150" s="18" t="str">
        <x:v>usefulverse.com</x:v>
      </x:c>
      <x:c r="D150" s="18" t="str">
        <x:v>https://usefulverse.com/tools/mental-math-practice/</x:v>
      </x:c>
      <x:c r="E150" s="22" t="n">
        <x:v>36</x:v>
      </x:c>
      <x:c r="F150" s="18" t="str">
        <x:v>Sí</x:v>
      </x:c>
      <x:c r="G150" s="18" t="str">
        <x:v>Build mental calculation speed with addition, subtraction, multiplication, division and mixed rounds.</x:v>
      </x:c>
      <x:c r="H150" s="18" t="str">
        <x:v>principal · commit 8dfcc147a3</x:v>
      </x:c>
    </x:row>
    <x:row r="151" ht="48" customHeight="1">
      <x:c r="A151" s="18" t="str">
        <x:v>study-planner</x:v>
      </x:c>
      <x:c r="B151" s="18" t="str">
        <x:v>Study Planner</x:v>
      </x:c>
      <x:c r="C151" s="18" t="str">
        <x:v>usefulverse.com</x:v>
      </x:c>
      <x:c r="D151" s="18" t="str">
        <x:v>https://usefulverse.com/tools/study-planner/</x:v>
      </x:c>
      <x:c r="E151" s="22" t="n">
        <x:v>36</x:v>
      </x:c>
      <x:c r="F151" s="18" t="str">
        <x:v>Sí</x:v>
      </x:c>
      <x:c r="G151" s="18" t="str">
        <x:v>Build a practical study schedule from your subjects, exam dates, available time and topic estimates.</x:v>
      </x:c>
      <x:c r="H151" s="18" t="str">
        <x:v>principal · commit 8dfcc147a3</x:v>
      </x:c>
    </x:row>
    <x:row r="152" ht="48" customHeight="1">
      <x:c r="A152" s="18" t="str">
        <x:v>equation-solver</x:v>
      </x:c>
      <x:c r="B152" s="18" t="str">
        <x:v>Equation Solver</x:v>
      </x:c>
      <x:c r="C152" s="18" t="str">
        <x:v>usefulverse.com</x:v>
      </x:c>
      <x:c r="D152" s="18" t="str">
        <x:v>https://usefulverse.com/tools/equation-solver/</x:v>
      </x:c>
      <x:c r="E152" s="22" t="n">
        <x:v>36</x:v>
      </x:c>
      <x:c r="F152" s="18" t="str">
        <x:v>Sí</x:v>
      </x:c>
      <x:c r="G152" s="18" t="str">
        <x:v>Solve linear and quadratic equations and check each solution in the original equation.</x:v>
      </x:c>
      <x:c r="H152" s="18" t="str">
        <x:v>principal · commit 8dfcc147a3</x:v>
      </x:c>
    </x:row>
    <x:row r="153" ht="48" customHeight="1">
      <x:c r="A153" s="18" t="str">
        <x:v>system-of-equations-calculator</x:v>
      </x:c>
      <x:c r="B153" s="18" t="str">
        <x:v>System of Equations Calculator</x:v>
      </x:c>
      <x:c r="C153" s="18" t="str">
        <x:v>usefulverse.com</x:v>
      </x:c>
      <x:c r="D153" s="18" t="str">
        <x:v>https://usefulverse.com/tools/system-of-equations-calculator/</x:v>
      </x:c>
      <x:c r="E153" s="22" t="n">
        <x:v>36</x:v>
      </x:c>
      <x:c r="F153" s="18" t="str">
        <x:v>Sí</x:v>
      </x:c>
      <x:c r="G153" s="18" t="str">
        <x:v>Solve two or three simultaneous linear equations and identify unique, no or infinite solutions.</x:v>
      </x:c>
      <x:c r="H153" s="18" t="str">
        <x:v>principal · commit 8dfcc147a3</x:v>
      </x:c>
    </x:row>
    <x:row r="154" ht="48" customHeight="1">
      <x:c r="A154" s="18" t="str">
        <x:v>polynomial-factorization-calculator</x:v>
      </x:c>
      <x:c r="B154" s="18" t="str">
        <x:v>Polynomial Factorization Calculator</x:v>
      </x:c>
      <x:c r="C154" s="18" t="str">
        <x:v>usefulverse.com</x:v>
      </x:c>
      <x:c r="D154" s="18" t="str">
        <x:v>https://usefulverse.com/tools/polynomial-factorization-calculator/</x:v>
      </x:c>
      <x:c r="E154" s="22" t="n">
        <x:v>36</x:v>
      </x:c>
      <x:c r="F154" s="18" t="str">
        <x:v>Sí</x:v>
      </x:c>
      <x:c r="G154" s="18" t="str">
        <x:v>Factor integer quadratics, expand the result and verify that it matches the input polynomial.</x:v>
      </x:c>
      <x:c r="H154" s="18" t="str">
        <x:v>principal · commit 8dfcc147a3</x:v>
      </x:c>
    </x:row>
    <x:row r="155" ht="48" customHeight="1">
      <x:c r="A155" s="18" t="str">
        <x:v>probability-calculator</x:v>
      </x:c>
      <x:c r="B155" s="18" t="str">
        <x:v>Probability Calculator</x:v>
      </x:c>
      <x:c r="C155" s="18" t="str">
        <x:v>usefulverse.com</x:v>
      </x:c>
      <x:c r="D155" s="18" t="str">
        <x:v>https://usefulverse.com/tools/probability-calculator/</x:v>
      </x:c>
      <x:c r="E155" s="22" t="n">
        <x:v>36</x:v>
      </x:c>
      <x:c r="F155" s="18" t="str">
        <x:v>Sí</x:v>
      </x:c>
      <x:c r="G155" s="18" t="str">
        <x:v>Calculate event probabilities, union, intersection, complements and conditional probability.</x:v>
      </x:c>
      <x:c r="H155" s="18" t="str">
        <x:v>principal · commit 8dfcc147a3</x:v>
      </x:c>
    </x:row>
    <x:row r="156" ht="48" customHeight="1">
      <x:c r="A156" s="18" t="str">
        <x:v>z-score-calculator</x:v>
      </x:c>
      <x:c r="B156" s="18" t="str">
        <x:v>Z-Score and Percentile Calculator</x:v>
      </x:c>
      <x:c r="C156" s="18" t="str">
        <x:v>usefulverse.com</x:v>
      </x:c>
      <x:c r="D156" s="18" t="str">
        <x:v>https://usefulverse.com/tools/z-score-calculator/</x:v>
      </x:c>
      <x:c r="E156" s="22" t="n">
        <x:v>36</x:v>
      </x:c>
      <x:c r="F156" s="18" t="str">
        <x:v>Sí</x:v>
      </x:c>
      <x:c r="G156" s="18" t="str">
        <x:v>Convert a value to a Z-score and estimate its percentile in a normal distribution.</x:v>
      </x:c>
      <x:c r="H156" s="18" t="str">
        <x:v>principal · commit 8dfcc147a3</x:v>
      </x:c>
    </x:row>
    <x:row r="157" ht="48" customHeight="1">
      <x:c r="A157" s="18" t="str">
        <x:v>coordinate-geometry-calculator</x:v>
      </x:c>
      <x:c r="B157" s="18" t="str">
        <x:v>Coordinate Geometry Calculator</x:v>
      </x:c>
      <x:c r="C157" s="18" t="str">
        <x:v>usefulverse.com</x:v>
      </x:c>
      <x:c r="D157" s="18" t="str">
        <x:v>https://usefulverse.com/tools/coordinate-geometry-calculator/</x:v>
      </x:c>
      <x:c r="E157" s="22" t="n">
        <x:v>36</x:v>
      </x:c>
      <x:c r="F157" s="18" t="str">
        <x:v>Sí</x:v>
      </x:c>
      <x:c r="G157" s="18" t="str">
        <x:v>Find slope, distance, midpoint and line equation from two coordinate points.</x:v>
      </x:c>
      <x:c r="H157" s="18" t="str">
        <x:v>principal · commit 8dfcc147a3</x:v>
      </x:c>
    </x:row>
    <x:row r="158" ht="48" customHeight="1">
      <x:c r="A158" s="18" t="str">
        <x:v>long-division-calculator</x:v>
      </x:c>
      <x:c r="B158" s="18" t="str">
        <x:v>Long Division Calculator with Steps</x:v>
      </x:c>
      <x:c r="C158" s="18" t="str">
        <x:v>usefulverse.com</x:v>
      </x:c>
      <x:c r="D158" s="18" t="str">
        <x:v>https://usefulverse.com/tools/long-division-calculator/</x:v>
      </x:c>
      <x:c r="E158" s="22" t="n">
        <x:v>36</x:v>
      </x:c>
      <x:c r="F158" s="18" t="str">
        <x:v>Sí</x:v>
      </x:c>
      <x:c r="G158" s="18" t="str">
        <x:v>Divide whole numbers and see quotient, remainder and the actual subtraction steps.</x:v>
      </x:c>
      <x:c r="H158" s="18" t="str">
        <x:v>principal · commit 8dfcc147a3</x:v>
      </x:c>
    </x:row>
    <x:row r="159" ht="48" customHeight="1">
      <x:c r="A159" s="18" t="str">
        <x:v>rounding-calculator</x:v>
      </x:c>
      <x:c r="B159" s="18" t="str">
        <x:v>Rounding and Significant Figures Calculator</x:v>
      </x:c>
      <x:c r="C159" s="18" t="str">
        <x:v>usefulverse.com</x:v>
      </x:c>
      <x:c r="D159" s="18" t="str">
        <x:v>https://usefulverse.com/tools/rounding-calculator/</x:v>
      </x:c>
      <x:c r="E159" s="22" t="n">
        <x:v>36</x:v>
      </x:c>
      <x:c r="F159" s="18" t="str">
        <x:v>Sí</x:v>
      </x:c>
      <x:c r="G159" s="18" t="str">
        <x:v>Round a number to decimal places or significant figures using a clearly stated rule.</x:v>
      </x:c>
      <x:c r="H159" s="18" t="str">
        <x:v>principal · commit 8dfcc147a3</x:v>
      </x:c>
    </x:row>
    <x:row r="160" ht="48" customHeight="1">
      <x:c r="A160" s="18" t="str">
        <x:v>tax-calculator</x:v>
      </x:c>
      <x:c r="B160" s="18" t="str">
        <x:v>Sales Tax, VAT and GST Calculator</x:v>
      </x:c>
      <x:c r="C160" s="18" t="str">
        <x:v>usefulverse.com</x:v>
      </x:c>
      <x:c r="D160" s="18" t="str">
        <x:v>https://usefulverse.com/tools/tax-calculator/</x:v>
      </x:c>
      <x:c r="E160" s="22" t="n">
        <x:v>36</x:v>
      </x:c>
      <x:c r="F160" s="18" t="str">
        <x:v>Sí</x:v>
      </x:c>
      <x:c r="G160" s="18" t="str">
        <x:v>Add tax to a net price or extract included tax with a rate you enter.</x:v>
      </x:c>
      <x:c r="H160" s="18" t="str">
        <x:v>principal · commit 8dfcc147a3</x:v>
      </x:c>
    </x:row>
    <x:row r="161" ht="48" customHeight="1">
      <x:c r="A161" s="18" t="str">
        <x:v>commission-calculator</x:v>
      </x:c>
      <x:c r="B161" s="18" t="str">
        <x:v>Commission Calculator</x:v>
      </x:c>
      <x:c r="C161" s="18" t="str">
        <x:v>usefulverse.com</x:v>
      </x:c>
      <x:c r="D161" s="18" t="str">
        <x:v>https://usefulverse.com/tools/commission-calculator/</x:v>
      </x:c>
      <x:c r="E161" s="22" t="n">
        <x:v>36</x:v>
      </x:c>
      <x:c r="F161" s="18" t="str">
        <x:v>Sí</x:v>
      </x:c>
      <x:c r="G161" s="18" t="str">
        <x:v>Calculate commission from a sale, or find the rate from a known commission amount.</x:v>
      </x:c>
      <x:c r="H161" s="18" t="str">
        <x:v>principal · commit 8dfcc147a3</x:v>
      </x:c>
    </x:row>
    <x:row r="162" ht="48" customHeight="1">
      <x:c r="A162" s="18" t="str">
        <x:v>credit-card-payoff-calculator</x:v>
      </x:c>
      <x:c r="B162" s="18" t="str">
        <x:v>Credit Card Payoff Calculator</x:v>
      </x:c>
      <x:c r="C162" s="18" t="str">
        <x:v>usefulverse.com</x:v>
      </x:c>
      <x:c r="D162" s="18" t="str">
        <x:v>https://usefulverse.com/tools/credit-card-payoff-calculator/</x:v>
      </x:c>
      <x:c r="E162" s="22" t="n">
        <x:v>36</x:v>
      </x:c>
      <x:c r="F162" s="18" t="str">
        <x:v>Sí</x:v>
      </x:c>
      <x:c r="G162" s="18" t="str">
        <x:v>Estimate payoff time, total interest and payments from a balance, APR and monthly payment.</x:v>
      </x:c>
      <x:c r="H162" s="18" t="str">
        <x:v>principal · commit 8dfcc147a3</x:v>
      </x:c>
    </x:row>
    <x:row r="163" ht="48" customHeight="1">
      <x:c r="A163" s="18" t="str">
        <x:v>unit-price-calculator</x:v>
      </x:c>
      <x:c r="B163" s="18" t="str">
        <x:v>Unit Price Calculator</x:v>
      </x:c>
      <x:c r="C163" s="18" t="str">
        <x:v>usefulverse.com</x:v>
      </x:c>
      <x:c r="D163" s="18" t="str">
        <x:v>https://usefulverse.com/tools/unit-price-calculator/</x:v>
      </x:c>
      <x:c r="E163" s="22" t="n">
        <x:v>36</x:v>
      </x:c>
      <x:c r="F163" s="18" t="str">
        <x:v>Sí</x:v>
      </x:c>
      <x:c r="G163" s="18" t="str">
        <x:v>Compare two package prices by converting both to the same unit price.</x:v>
      </x:c>
      <x:c r="H163" s="18" t="str">
        <x:v>principal · commit 8dfcc147a3</x:v>
      </x:c>
    </x:row>
    <x:row r="164" ht="48" customHeight="1">
      <x:c r="A164" s="18" t="str">
        <x:v>concrete-calculator</x:v>
      </x:c>
      <x:c r="B164" s="18" t="str">
        <x:v>Concrete Calculator</x:v>
      </x:c>
      <x:c r="C164" s="18" t="str">
        <x:v>usefulverse.com</x:v>
      </x:c>
      <x:c r="D164" s="18" t="str">
        <x:v>https://usefulverse.com/tools/concrete-calculator/</x:v>
      </x:c>
      <x:c r="E164" s="22" t="n">
        <x:v>36</x:v>
      </x:c>
      <x:c r="F164" s="18" t="str">
        <x:v>Sí</x:v>
      </x:c>
      <x:c r="G164" s="18" t="str">
        <x:v>Estimate concrete volume for a slab and add a configurable waste allowance.</x:v>
      </x:c>
      <x:c r="H164" s="18" t="str">
        <x:v>principal · commit 8dfcc147a3</x:v>
      </x:c>
    </x:row>
    <x:row r="165" ht="48" customHeight="1">
      <x:c r="A165" s="18" t="str">
        <x:v>tile-calculator</x:v>
      </x:c>
      <x:c r="B165" s="18" t="str">
        <x:v>Tile Calculator</x:v>
      </x:c>
      <x:c r="C165" s="18" t="str">
        <x:v>usefulverse.com</x:v>
      </x:c>
      <x:c r="D165" s="18" t="str">
        <x:v>https://usefulverse.com/tools/tile-calculator/</x:v>
      </x:c>
      <x:c r="E165" s="22" t="n">
        <x:v>36</x:v>
      </x:c>
      <x:c r="F165" s="18" t="str">
        <x:v>Sí</x:v>
      </x:c>
      <x:c r="G165" s="18" t="str">
        <x:v>Estimate floor area, tile count and a configurable allowance for cuts and waste.</x:v>
      </x:c>
      <x:c r="H165" s="18" t="str">
        <x:v>principal · commit 8dfcc147a3</x:v>
      </x:c>
    </x:row>
    <x:row r="166" ht="48" customHeight="1">
      <x:c r="A166" s="18" t="str">
        <x:v>receipt-generator</x:v>
      </x:c>
      <x:c r="B166" s="18" t="str">
        <x:v>Receipt Generator</x:v>
      </x:c>
      <x:c r="C166" s="18" t="str">
        <x:v>usefulverse.com</x:v>
      </x:c>
      <x:c r="D166" s="18" t="str">
        <x:v>https://usefulverse.com/tools/receipt-generator/</x:v>
      </x:c>
      <x:c r="E166" s="22" t="n">
        <x:v>36</x:v>
      </x:c>
      <x:c r="F166" s="18" t="str">
        <x:v>Sí</x:v>
      </x:c>
      <x:c r="G166" s="18" t="str">
        <x:v>Create and print a simple payment receipt with items, tax and payment details.</x:v>
      </x:c>
      <x:c r="H166" s="18" t="str">
        <x:v>principal · commit 8dfcc147a3</x:v>
      </x:c>
    </x:row>
    <x:row r="167" ht="48" customHeight="1">
      <x:c r="A167" s="18" t="str">
        <x:v>quotation-generator</x:v>
      </x:c>
      <x:c r="B167" s="18" t="str">
        <x:v>Quotation and Estimate Generator</x:v>
      </x:c>
      <x:c r="C167" s="18" t="str">
        <x:v>usefulverse.com</x:v>
      </x:c>
      <x:c r="D167" s="18" t="str">
        <x:v>https://usefulverse.com/tools/quotation-generator/</x:v>
      </x:c>
      <x:c r="E167" s="22" t="n">
        <x:v>36</x:v>
      </x:c>
      <x:c r="F167" s="18" t="str">
        <x:v>Sí</x:v>
      </x:c>
      <x:c r="G167" s="18" t="str">
        <x:v>Draft a simple customer quotation with itemized prices, optional tax and a validity date.</x:v>
      </x:c>
      <x:c r="H167" s="18" t="str">
        <x:v>principal · commit 8dfcc147a3</x:v>
      </x:c>
    </x:row>
    <x:row r="168" ht="48" customHeight="1">
      <x:c r="A168" s="18" t="str">
        <x:v>morse-code-translator</x:v>
      </x:c>
      <x:c r="B168" s="18" t="str">
        <x:v>Morse Code Translator</x:v>
      </x:c>
      <x:c r="C168" s="18" t="str">
        <x:v>usefulverse.com</x:v>
      </x:c>
      <x:c r="D168" s="18" t="str">
        <x:v>https://usefulverse.com/tools/morse-code-translator/</x:v>
      </x:c>
      <x:c r="E168" s="22" t="n">
        <x:v>36</x:v>
      </x:c>
      <x:c r="F168" s="18" t="str">
        <x:v>Sí</x:v>
      </x:c>
      <x:c r="G168" s="18" t="str">
        <x:v>Translate supported English letters, numbers and punctuation to Morse or back.</x:v>
      </x:c>
      <x:c r="H168" s="18" t="str">
        <x:v>principal · commit 8dfcc147a3</x:v>
      </x:c>
    </x:row>
    <x:row r="169" ht="48" customHeight="1">
      <x:c r="A169" s="18" t="str">
        <x:v>online-metronome</x:v>
      </x:c>
      <x:c r="B169" s="18" t="str">
        <x:v>Online Metronome with Tap Tempo</x:v>
      </x:c>
      <x:c r="C169" s="18" t="str">
        <x:v>usefulverse.com</x:v>
      </x:c>
      <x:c r="D169" s="18" t="str">
        <x:v>https://usefulverse.com/tools/online-metronome/</x:v>
      </x:c>
      <x:c r="E169" s="22" t="n">
        <x:v>36</x:v>
      </x:c>
      <x:c r="F169" s="18" t="str">
        <x:v>Sí</x:v>
      </x:c>
      <x:c r="G169" s="18" t="str">
        <x:v>Set BPM, beat accents and time signature, or tap a rhythm to find its tempo.</x:v>
      </x:c>
      <x:c r="H169" s="18" t="str">
        <x:v>principal · commit 8dfcc147a3</x:v>
      </x:c>
    </x:row>
    <x:row r="170" ht="48" customHeight="1">
      <x:c r="A170" s="18" t="str">
        <x:v>keyboard-tester</x:v>
      </x:c>
      <x:c r="B170" s="18" t="str">
        <x:v>Keyboard Tester</x:v>
      </x:c>
      <x:c r="C170" s="18" t="str">
        <x:v>usefulverse.com</x:v>
      </x:c>
      <x:c r="D170" s="18" t="str">
        <x:v>https://usefulverse.com/tools/keyboard-tester/</x:v>
      </x:c>
      <x:c r="E170" s="22" t="n">
        <x:v>36</x:v>
      </x:c>
      <x:c r="F170" s="18" t="str">
        <x:v>Sí</x:v>
      </x:c>
      <x:c r="G170" s="18" t="str">
        <x:v>Press keys to see which keyboard events reach this browser page.</x:v>
      </x:c>
      <x:c r="H170" s="18" t="str">
        <x:v>principal · commit 8dfcc147a3</x:v>
      </x:c>
    </x:row>
    <x:row r="171" ht="48" customHeight="1">
      <x:c r="A171" s="18" t="str">
        <x:v>mouse-tester</x:v>
      </x:c>
      <x:c r="B171" s="18" t="str">
        <x:v>Mouse Tester and Click Speed Test</x:v>
      </x:c>
      <x:c r="C171" s="18" t="str">
        <x:v>usefulverse.com</x:v>
      </x:c>
      <x:c r="D171" s="18" t="str">
        <x:v>https://usefulverse.com/tools/mouse-tester/</x:v>
      </x:c>
      <x:c r="E171" s="22" t="n">
        <x:v>36</x:v>
      </x:c>
      <x:c r="F171" s="18" t="str">
        <x:v>Sí</x:v>
      </x:c>
      <x:c r="G171" s="18" t="str">
        <x:v>Test mouse buttons, wheel input and clicks per second in your browser.</x:v>
      </x:c>
      <x:c r="H171" s="18" t="str">
        <x:v>principal · commit 8dfcc147a3</x:v>
      </x:c>
    </x:row>
    <x:row r="172" ht="48" customHeight="1">
      <x:c r="A172" s="18" t="str">
        <x:v>reaction-time-test</x:v>
      </x:c>
      <x:c r="B172" s="18" t="str">
        <x:v>Reaction Time Test</x:v>
      </x:c>
      <x:c r="C172" s="18" t="str">
        <x:v>usefulverse.com</x:v>
      </x:c>
      <x:c r="D172" s="18" t="str">
        <x:v>https://usefulverse.com/tools/reaction-time-test/</x:v>
      </x:c>
      <x:c r="E172" s="22" t="n">
        <x:v>36</x:v>
      </x:c>
      <x:c r="F172" s="18" t="str">
        <x:v>Sí</x:v>
      </x:c>
      <x:c r="G172" s="18" t="str">
        <x:v>Measure click reaction time over several rounds and compare the median.</x:v>
      </x:c>
      <x:c r="H172" s="18" t="str">
        <x:v>principal · commit 8dfcc147a3</x:v>
      </x:c>
    </x:row>
    <x:row r="173" ht="48" customHeight="1">
      <x:c r="A173" s="18" t="str">
        <x:v>combinatorics-calculator</x:v>
      </x:c>
      <x:c r="B173" s="18" t="str">
        <x:v>Combinations and Permutations Calculator</x:v>
      </x:c>
      <x:c r="C173" s="18" t="str">
        <x:v>usefulverse.com</x:v>
      </x:c>
      <x:c r="D173" s="18" t="str">
        <x:v>https://usefulverse.com/tools/combinatorics-calculator/</x:v>
      </x:c>
      <x:c r="E173" s="22" t="n">
        <x:v>36</x:v>
      </x:c>
      <x:c r="F173" s="18" t="str">
        <x:v>Sí</x:v>
      </x:c>
      <x:c r="G173" s="18" t="str">
        <x:v>Calculate combinations, permutations and factorial-style selections, with a clear note about order.</x:v>
      </x:c>
      <x:c r="H173" s="18" t="str">
        <x:v>principal · commit 8dfcc147a3</x:v>
      </x:c>
    </x:row>
    <x:row r="174" ht="48" customHeight="1">
      <x:c r="A174" s="18" t="str">
        <x:v>probability-distribution-calculator</x:v>
      </x:c>
      <x:c r="B174" s="18" t="str">
        <x:v>Normal, Binomial and Poisson Distribution Calculator</x:v>
      </x:c>
      <x:c r="C174" s="18" t="str">
        <x:v>usefulverse.com</x:v>
      </x:c>
      <x:c r="D174" s="18" t="str">
        <x:v>https://usefulverse.com/tools/probability-distribution-calculator/</x:v>
      </x:c>
      <x:c r="E174" s="22" t="n">
        <x:v>36</x:v>
      </x:c>
      <x:c r="F174" s="18" t="str">
        <x:v>Sí</x:v>
      </x:c>
      <x:c r="G174" s="18" t="str">
        <x:v>Estimate point and cumulative probabilities for normal, binomial and Poisson models.</x:v>
      </x:c>
      <x:c r="H174" s="18" t="str">
        <x:v>principal · commit 8dfcc147a3</x:v>
      </x:c>
    </x:row>
    <x:row r="175" ht="48" customHeight="1">
      <x:c r="A175" s="18" t="str">
        <x:v>confidence-interval-calculator</x:v>
      </x:c>
      <x:c r="B175" s="18" t="str">
        <x:v>Confidence Interval Calculator for a Mean</x:v>
      </x:c>
      <x:c r="C175" s="18" t="str">
        <x:v>usefulverse.com</x:v>
      </x:c>
      <x:c r="D175" s="18" t="str">
        <x:v>https://usefulverse.com/tools/confidence-interval-calculator/</x:v>
      </x:c>
      <x:c r="E175" s="22" t="n">
        <x:v>36</x:v>
      </x:c>
      <x:c r="F175" s="18" t="str">
        <x:v>Sí</x:v>
      </x:c>
      <x:c r="G175" s="18" t="str">
        <x:v>Calculate a z confidence interval for a mean when the population standard deviation is known.</x:v>
      </x:c>
      <x:c r="H175" s="18" t="str">
        <x:v>principal · commit 8dfcc147a3</x:v>
      </x:c>
    </x:row>
    <x:row r="176" ht="48" customHeight="1">
      <x:c r="A176" s="18" t="str">
        <x:v>sample-size-calculator</x:v>
      </x:c>
      <x:c r="B176" s="18" t="str">
        <x:v>Survey Sample Size Calculator</x:v>
      </x:c>
      <x:c r="C176" s="18" t="str">
        <x:v>usefulverse.com</x:v>
      </x:c>
      <x:c r="D176" s="18" t="str">
        <x:v>https://usefulverse.com/tools/sample-size-calculator/</x:v>
      </x:c>
      <x:c r="E176" s="22" t="n">
        <x:v>36</x:v>
      </x:c>
      <x:c r="F176" s="18" t="str">
        <x:v>Sí</x:v>
      </x:c>
      <x:c r="G176" s="18" t="str">
        <x:v>Estimate a survey sample size from confidence, margin of error and expected proportion.</x:v>
      </x:c>
      <x:c r="H176" s="18" t="str">
        <x:v>principal · commit 8dfcc147a3</x:v>
      </x:c>
    </x:row>
    <x:row r="177" ht="48" customHeight="1">
      <x:c r="A177" s="18" t="str">
        <x:v>linear-regression-calculator</x:v>
      </x:c>
      <x:c r="B177" s="18" t="str">
        <x:v>Linear Regression and Correlation Calculator</x:v>
      </x:c>
      <x:c r="C177" s="18" t="str">
        <x:v>usefulverse.com</x:v>
      </x:c>
      <x:c r="D177" s="18" t="str">
        <x:v>https://usefulverse.com/tools/linear-regression-calculator/</x:v>
      </x:c>
      <x:c r="E177" s="22" t="n">
        <x:v>36</x:v>
      </x:c>
      <x:c r="F177" s="18" t="str">
        <x:v>Sí</x:v>
      </x:c>
      <x:c r="G177" s="18" t="str">
        <x:v>Fit a least-squares line to x,y pairs and calculate Pearson correlation and R-squared.</x:v>
      </x:c>
      <x:c r="H177" s="18" t="str">
        <x:v>principal · commit 8dfcc147a3</x:v>
      </x:c>
    </x:row>
    <x:row r="178" ht="48" customHeight="1">
      <x:c r="A178" s="18" t="str">
        <x:v>triangle-calculator</x:v>
      </x:c>
      <x:c r="B178" s="18" t="str">
        <x:v>Triangle Calculator from Three Sides</x:v>
      </x:c>
      <x:c r="C178" s="18" t="str">
        <x:v>usefulverse.com</x:v>
      </x:c>
      <x:c r="D178" s="18" t="str">
        <x:v>https://usefulverse.com/tools/triangle-calculator/</x:v>
      </x:c>
      <x:c r="E178" s="22" t="n">
        <x:v>36</x:v>
      </x:c>
      <x:c r="F178" s="18" t="str">
        <x:v>Sí</x:v>
      </x:c>
      <x:c r="G178" s="18" t="str">
        <x:v>Find all angles, perimeter and area from three valid triangle side lengths.</x:v>
      </x:c>
      <x:c r="H178" s="18" t="str">
        <x:v>principal · commit 8dfcc147a3</x:v>
      </x:c>
    </x:row>
    <x:row r="179" ht="48" customHeight="1">
      <x:c r="A179" s="18" t="str">
        <x:v>volume-calculator</x:v>
      </x:c>
      <x:c r="B179" s="18" t="str">
        <x:v>Volume and Surface Area Calculator</x:v>
      </x:c>
      <x:c r="C179" s="18" t="str">
        <x:v>usefulverse.com</x:v>
      </x:c>
      <x:c r="D179" s="18" t="str">
        <x:v>https://usefulverse.com/tools/volume-calculator/</x:v>
      </x:c>
      <x:c r="E179" s="22" t="n">
        <x:v>36</x:v>
      </x:c>
      <x:c r="F179" s="18" t="str">
        <x:v>Sí</x:v>
      </x:c>
      <x:c r="G179" s="18" t="str">
        <x:v>Calculate volume and surface area for a sphere, cylinder, cone or rectangular prism.</x:v>
      </x:c>
      <x:c r="H179" s="18" t="str">
        <x:v>principal · commit 8dfcc147a3</x:v>
      </x:c>
    </x:row>
    <x:row r="180" ht="48" customHeight="1">
      <x:c r="A180" s="18" t="str">
        <x:v>sequence-calculator</x:v>
      </x:c>
      <x:c r="B180" s="18" t="str">
        <x:v>Arithmetic and Geometric Sequence Calculator</x:v>
      </x:c>
      <x:c r="C180" s="18" t="str">
        <x:v>usefulverse.com</x:v>
      </x:c>
      <x:c r="D180" s="18" t="str">
        <x:v>https://usefulverse.com/tools/sequence-calculator/</x:v>
      </x:c>
      <x:c r="E180" s="22" t="n">
        <x:v>36</x:v>
      </x:c>
      <x:c r="F180" s="18" t="str">
        <x:v>Sí</x:v>
      </x:c>
      <x:c r="G180" s="18" t="str">
        <x:v>Find an arithmetic or geometric sequence term and the sum of its first n terms.</x:v>
      </x:c>
      <x:c r="H180" s="18" t="str">
        <x:v>principal · commit 8dfcc147a3</x:v>
      </x:c>
    </x:row>
    <x:row r="181" ht="48" customHeight="1">
      <x:c r="A181" s="18" t="str">
        <x:v>break-even-calculator</x:v>
      </x:c>
      <x:c r="B181" s="18" t="str">
        <x:v>Break-Even Point Calculator</x:v>
      </x:c>
      <x:c r="C181" s="18" t="str">
        <x:v>usefulverse.com</x:v>
      </x:c>
      <x:c r="D181" s="18" t="str">
        <x:v>https://usefulverse.com/tools/break-even-calculator/</x:v>
      </x:c>
      <x:c r="E181" s="22" t="n">
        <x:v>36</x:v>
      </x:c>
      <x:c r="F181" s="18" t="str">
        <x:v>Sí</x:v>
      </x:c>
      <x:c r="G181" s="18" t="str">
        <x:v>Estimate break-even units and sales from fixed costs, unit price and variable cost.</x:v>
      </x:c>
      <x:c r="H181" s="18" t="str">
        <x:v>principal · commit 8dfcc147a3</x:v>
      </x:c>
    </x:row>
    <x:row r="182" ht="48" customHeight="1">
      <x:c r="A182" s="18" t="str">
        <x:v>roi-cagr-calculator</x:v>
      </x:c>
      <x:c r="B182" s="18" t="str">
        <x:v>ROI and CAGR Calculator</x:v>
      </x:c>
      <x:c r="C182" s="18" t="str">
        <x:v>usefulverse.com</x:v>
      </x:c>
      <x:c r="D182" s="18" t="str">
        <x:v>https://usefulverse.com/tools/roi-cagr-calculator/</x:v>
      </x:c>
      <x:c r="E182" s="22" t="n">
        <x:v>36</x:v>
      </x:c>
      <x:c r="F182" s="18" t="str">
        <x:v>Sí</x:v>
      </x:c>
      <x:c r="G182" s="18" t="str">
        <x:v>Calculate total return on investment and compound annual growth rate from starting value, ending value and time.</x:v>
      </x:c>
      <x:c r="H182" s="18" t="str">
        <x:v>principal · commit 8dfcc147a3</x:v>
      </x:c>
    </x:row>
    <x:row r="183" ht="48" customHeight="1">
      <x:c r="A183" s="18" t="str">
        <x:v>depreciation-calculator</x:v>
      </x:c>
      <x:c r="B183" s="18" t="str">
        <x:v>Depreciation Calculator</x:v>
      </x:c>
      <x:c r="C183" s="18" t="str">
        <x:v>usefulverse.com</x:v>
      </x:c>
      <x:c r="D183" s="18" t="str">
        <x:v>https://usefulverse.com/tools/depreciation-calculator/</x:v>
      </x:c>
      <x:c r="E183" s="22" t="n">
        <x:v>36</x:v>
      </x:c>
      <x:c r="F183" s="18" t="str">
        <x:v>Sí</x:v>
      </x:c>
      <x:c r="G183" s="18" t="str">
        <x:v>Build an estimated asset depreciation schedule using straight-line or declining-balance methods.</x:v>
      </x:c>
      <x:c r="H183" s="18" t="str">
        <x:v>principal · commit 8dfcc147a3</x:v>
      </x:c>
    </x:row>
    <x:row r="184" ht="48" customHeight="1">
      <x:c r="A184" s="18" t="str">
        <x:v>dimensional-weight-calculator</x:v>
      </x:c>
      <x:c r="B184" s="18" t="str">
        <x:v>Dimensional Weight Calculator</x:v>
      </x:c>
      <x:c r="C184" s="18" t="str">
        <x:v>usefulverse.com</x:v>
      </x:c>
      <x:c r="D184" s="18" t="str">
        <x:v>https://usefulverse.com/tools/dimensional-weight-calculator/</x:v>
      </x:c>
      <x:c r="E184" s="22" t="n">
        <x:v>36</x:v>
      </x:c>
      <x:c r="F184" s="18" t="str">
        <x:v>Sí</x:v>
      </x:c>
      <x:c r="G184" s="18" t="str">
        <x:v>Estimate dimensional shipping weight using package dimensions and a carrier divisor you provide.</x:v>
      </x:c>
      <x:c r="H184" s="18" t="str">
        <x:v>principal · commit 8dfcc147a3</x:v>
      </x:c>
    </x:row>
    <x:row r="185" ht="48" customHeight="1">
      <x:c r="A185" s="18" t="str">
        <x:v>paint-calculator</x:v>
      </x:c>
      <x:c r="B185" s="18" t="str">
        <x:v>Paint Calculator</x:v>
      </x:c>
      <x:c r="C185" s="18" t="str">
        <x:v>usefulverse.com</x:v>
      </x:c>
      <x:c r="D185" s="18" t="str">
        <x:v>https://usefulverse.com/tools/paint-calculator/</x:v>
      </x:c>
      <x:c r="E185" s="22" t="n">
        <x:v>36</x:v>
      </x:c>
      <x:c r="F185" s="18" t="str">
        <x:v>Sí</x:v>
      </x:c>
      <x:c r="G185" s="18" t="str">
        <x:v>Estimate paint quantity from wall dimensions, doors and windows, coats and coverage.</x:v>
      </x:c>
      <x:c r="H185" s="18" t="str">
        <x:v>principal · commit 8dfcc147a3</x:v>
      </x:c>
    </x:row>
    <x:row r="186" ht="48" customHeight="1">
      <x:c r="A186" s="18" t="str">
        <x:v>board-foot-calculator</x:v>
      </x:c>
      <x:c r="B186" s="18" t="str">
        <x:v>Board Foot and Lumber Calculator</x:v>
      </x:c>
      <x:c r="C186" s="18" t="str">
        <x:v>usefulverse.com</x:v>
      </x:c>
      <x:c r="D186" s="18" t="str">
        <x:v>https://usefulverse.com/tools/board-foot-calculator/</x:v>
      </x:c>
      <x:c r="E186" s="22" t="n">
        <x:v>36</x:v>
      </x:c>
      <x:c r="F186" s="18" t="str">
        <x:v>Sí</x:v>
      </x:c>
      <x:c r="G186" s="18" t="str">
        <x:v>Calculate board feet and estimate lumber cost from thickness, width, length and quantity.</x:v>
      </x:c>
      <x:c r="H186" s="18" t="str">
        <x:v>principal · commit 8dfcc147a3</x:v>
      </x:c>
    </x:row>
    <x:row r="187" ht="48" customHeight="1">
      <x:c r="A187" s="18" t="str">
        <x:v>recipe-scaler</x:v>
      </x:c>
      <x:c r="B187" s="18" t="str">
        <x:v>Recipe Ingredient Scaler</x:v>
      </x:c>
      <x:c r="C187" s="18" t="str">
        <x:v>usefulverse.com</x:v>
      </x:c>
      <x:c r="D187" s="18" t="str">
        <x:v>https://usefulverse.com/tools/recipe-scaler/</x:v>
      </x:c>
      <x:c r="E187" s="22" t="n">
        <x:v>36</x:v>
      </x:c>
      <x:c r="F187" s="18" t="str">
        <x:v>Sí</x:v>
      </x:c>
      <x:c r="G187" s="18" t="str">
        <x:v>Scale ingredient amounts up or down when changing the number of servings.</x:v>
      </x:c>
      <x:c r="H187" s="18" t="str">
        <x:v>principal · commit 8dfcc147a3</x:v>
      </x:c>
    </x:row>
    <x:row r="188" ht="48" customHeight="1">
      <x:c r="A188" s="18" t="str">
        <x:v>iban-validator</x:v>
      </x:c>
      <x:c r="B188" s="18" t="str">
        <x:v>IBAN Validator and Format Checker</x:v>
      </x:c>
      <x:c r="C188" s="18" t="str">
        <x:v>usefulverse.com</x:v>
      </x:c>
      <x:c r="D188" s="18" t="str">
        <x:v>https://usefulverse.com/tools/iban-validator/</x:v>
      </x:c>
      <x:c r="E188" s="22" t="n">
        <x:v>36</x:v>
      </x:c>
      <x:c r="F188" s="18" t="str">
        <x:v>Sí</x:v>
      </x:c>
      <x:c r="G188" s="18" t="str">
        <x:v>Check an IBAN country-length pattern and checksum locally without contacting a bank.</x:v>
      </x:c>
      <x:c r="H188" s="18" t="str">
        <x:v>principal · commit 8dfcc147a3</x:v>
      </x:c>
    </x:row>
    <x:row r="189" ht="48" customHeight="1">
      <x:c r="A189" s="18" t="str">
        <x:v>utm-builder</x:v>
      </x:c>
      <x:c r="B189" s="18" t="str">
        <x:v>UTM Link Builder</x:v>
      </x:c>
      <x:c r="C189" s="18" t="str">
        <x:v>usefulverse.com</x:v>
      </x:c>
      <x:c r="D189" s="18" t="str">
        <x:v>https://usefulverse.com/tools/utm-builder/</x:v>
      </x:c>
      <x:c r="E189" s="22" t="n">
        <x:v>36</x:v>
      </x:c>
      <x:c r="F189" s="18" t="str">
        <x:v>Sí</x:v>
      </x:c>
      <x:c r="G189" s="18" t="str">
        <x:v>Add campaign source, medium and name parameters to a URL without sending it anywhere.</x:v>
      </x:c>
      <x:c r="H189" s="18" t="str">
        <x:v>principal · commit 8dfcc147a3</x:v>
      </x:c>
    </x:row>
    <x:row r="190" ht="48" customHeight="1">
      <x:c r="A190" s="18" t="str">
        <x:v>robots-txt-generator</x:v>
      </x:c>
      <x:c r="B190" s="18" t="str">
        <x:v>Robots.txt Generator</x:v>
      </x:c>
      <x:c r="C190" s="18" t="str">
        <x:v>usefulverse.com</x:v>
      </x:c>
      <x:c r="D190" s="18" t="str">
        <x:v>https://usefulverse.com/tools/robots-txt-generator/</x:v>
      </x:c>
      <x:c r="E190" s="22" t="n">
        <x:v>36</x:v>
      </x:c>
      <x:c r="F190" s="18" t="str">
        <x:v>Sí</x:v>
      </x:c>
      <x:c r="G190" s="18" t="str">
        <x:v>Draft a robots.txt file from user-agent, allow, disallow and sitemap fields.</x:v>
      </x:c>
      <x:c r="H190" s="18" t="str">
        <x:v>principal · commit 8dfcc147a3</x:v>
      </x:c>
    </x:row>
    <x:row r="191" ht="48" customHeight="1">
      <x:c r="A191" s="18" t="str">
        <x:v>sitemap-xml-generator</x:v>
      </x:c>
      <x:c r="B191" s="18" t="str">
        <x:v>XML Sitemap Generator from URLs</x:v>
      </x:c>
      <x:c r="C191" s="18" t="str">
        <x:v>usefulverse.com</x:v>
      </x:c>
      <x:c r="D191" s="18" t="str">
        <x:v>https://usefulverse.com/tools/sitemap-xml-generator/</x:v>
      </x:c>
      <x:c r="E191" s="22" t="n">
        <x:v>36</x:v>
      </x:c>
      <x:c r="F191" s="18" t="str">
        <x:v>Sí</x:v>
      </x:c>
      <x:c r="G191" s="18" t="str">
        <x:v>Create a sitemap XML draft from URLs you provide, without crawling a website.</x:v>
      </x:c>
      <x:c r="H191" s="18" t="str">
        <x:v>principal · commit 8dfcc147a3</x:v>
      </x:c>
    </x:row>
    <x:row r="192" ht="48" customHeight="1">
      <x:c r="A192" s="18" t="str">
        <x:v>json-ld-generator</x:v>
      </x:c>
      <x:c r="B192" s="18" t="str">
        <x:v>JSON-LD Schema Generator</x:v>
      </x:c>
      <x:c r="C192" s="18" t="str">
        <x:v>usefulverse.com</x:v>
      </x:c>
      <x:c r="D192" s="18" t="str">
        <x:v>https://usefulverse.com/tools/json-ld-generator/</x:v>
      </x:c>
      <x:c r="E192" s="22" t="n">
        <x:v>36</x:v>
      </x:c>
      <x:c r="F192" s="18" t="str">
        <x:v>Sí</x:v>
      </x:c>
      <x:c r="G192" s="18" t="str">
        <x:v>Draft basic Organization, WebSite or Article JSON-LD from details you provide.</x:v>
      </x:c>
      <x:c r="H192" s="18" t="str">
        <x:v>principal · commit 8dfcc147a3</x:v>
      </x:c>
    </x:row>
    <x:row r="193" ht="48" customHeight="1">
      <x:c r="A193" s="18" t="str">
        <x:v>meta-tag-generator</x:v>
      </x:c>
      <x:c r="B193" s="18" t="str">
        <x:v>Meta Tag and Open Graph Generator</x:v>
      </x:c>
      <x:c r="C193" s="18" t="str">
        <x:v>usefulverse.com</x:v>
      </x:c>
      <x:c r="D193" s="18" t="str">
        <x:v>https://usefulverse.com/tools/meta-tag-generator/</x:v>
      </x:c>
      <x:c r="E193" s="22" t="n">
        <x:v>36</x:v>
      </x:c>
      <x:c r="F193" s="18" t="str">
        <x:v>Sí</x:v>
      </x:c>
      <x:c r="G193" s="18" t="str">
        <x:v>Draft HTML title, description, canonical, Open Graph and social card tags with a live text preview.</x:v>
      </x:c>
      <x:c r="H193" s="18" t="str">
        <x:v>principal · commit 8dfcc147a3</x:v>
      </x:c>
    </x:row>
    <x:row r="194" ht="48" customHeight="1">
      <x:c r="A194" s="18" t="str">
        <x:v>css-gradient-generator</x:v>
      </x:c>
      <x:c r="B194" s="18" t="str">
        <x:v>CSS Gradient Generator</x:v>
      </x:c>
      <x:c r="C194" s="18" t="str">
        <x:v>usefulverse.com</x:v>
      </x:c>
      <x:c r="D194" s="18" t="str">
        <x:v>https://usefulverse.com/tools/css-gradient-generator/</x:v>
      </x:c>
      <x:c r="E194" s="22" t="n">
        <x:v>36</x:v>
      </x:c>
      <x:c r="F194" s="18" t="str">
        <x:v>Sí</x:v>
      </x:c>
      <x:c r="G194" s="18" t="str">
        <x:v>Create a CSS linear or radial gradient from validated colors and stops.</x:v>
      </x:c>
      <x:c r="H194" s="18" t="str">
        <x:v>principal · commit 8dfcc147a3</x:v>
      </x:c>
    </x:row>
    <x:row r="195" ht="48" customHeight="1">
      <x:c r="A195" s="18" t="str">
        <x:v>css-box-shadow-generator</x:v>
      </x:c>
      <x:c r="B195" s="18" t="str">
        <x:v>CSS Box Shadow Generator</x:v>
      </x:c>
      <x:c r="C195" s="18" t="str">
        <x:v>usefulverse.com</x:v>
      </x:c>
      <x:c r="D195" s="18" t="str">
        <x:v>https://usefulverse.com/tools/css-box-shadow-generator/</x:v>
      </x:c>
      <x:c r="E195" s="22" t="n">
        <x:v>36</x:v>
      </x:c>
      <x:c r="F195" s="18" t="str">
        <x:v>Sí</x:v>
      </x:c>
      <x:c r="G195" s="18" t="str">
        <x:v>Build a CSS box-shadow declaration with offset, blur, spread, color and inset options.</x:v>
      </x:c>
      <x:c r="H195" s="18" t="str">
        <x:v>principal · commit 8dfcc147a3</x:v>
      </x:c>
    </x:row>
    <x:row r="196" ht="48" customHeight="1">
      <x:c r="A196" s="18" t="str">
        <x:v>color-palette-generator</x:v>
      </x:c>
      <x:c r="B196" s="18" t="str">
        <x:v>Color Palette Generator</x:v>
      </x:c>
      <x:c r="C196" s="18" t="str">
        <x:v>usefulverse.com</x:v>
      </x:c>
      <x:c r="D196" s="18" t="str">
        <x:v>https://usefulverse.com/tools/color-palette-generator/</x:v>
      </x:c>
      <x:c r="E196" s="22" t="n">
        <x:v>36</x:v>
      </x:c>
      <x:c r="F196" s="18" t="str">
        <x:v>Sí</x:v>
      </x:c>
      <x:c r="G196" s="18" t="str">
        <x:v>Generate complementary and analogous palette colors from a starting hex color.</x:v>
      </x:c>
      <x:c r="H196" s="18" t="str">
        <x:v>principal · commit 8dfcc147a3</x:v>
      </x:c>
    </x:row>
    <x:row r="197" ht="48" customHeight="1">
      <x:c r="A197" s="18" t="str">
        <x:v>css-grid-generator</x:v>
      </x:c>
      <x:c r="B197" s="18" t="str">
        <x:v>CSS Grid and Flexbox Generator</x:v>
      </x:c>
      <x:c r="C197" s="18" t="str">
        <x:v>usefulverse.com</x:v>
      </x:c>
      <x:c r="D197" s="18" t="str">
        <x:v>https://usefulverse.com/tools/css-grid-generator/</x:v>
      </x:c>
      <x:c r="E197" s="22" t="n">
        <x:v>36</x:v>
      </x:c>
      <x:c r="F197" s="18" t="str">
        <x:v>Sí</x:v>
      </x:c>
      <x:c r="G197" s="18" t="str">
        <x:v>Generate a responsive CSS Grid or Flexbox layout declaration from columns, gap and alignment settings.</x:v>
      </x:c>
      <x:c r="H197" s="18" t="str">
        <x:v>principal · commit 8dfcc147a3</x:v>
      </x:c>
    </x:row>
    <x:row r="198" ht="48" customHeight="1">
      <x:c r="A198" s="18" t="str">
        <x:v>polynomial-derivative-calculator</x:v>
      </x:c>
      <x:c r="B198" s="18" t="str">
        <x:v>Polynomial Derivative Calculator</x:v>
      </x:c>
      <x:c r="C198" s="18" t="str">
        <x:v>usefulverse.com</x:v>
      </x:c>
      <x:c r="D198" s="18" t="str">
        <x:v>https://usefulverse.com/tools/polynomial-derivative-calculator/</x:v>
      </x:c>
      <x:c r="E198" s="22" t="n">
        <x:v>36</x:v>
      </x:c>
      <x:c r="F198" s="18" t="str">
        <x:v>Sí</x:v>
      </x:c>
      <x:c r="G198" s="18" t="str">
        <x:v>Differentiate a polynomial from its coefficients and optionally evaluate the derivative at a point.</x:v>
      </x:c>
      <x:c r="H198" s="18" t="str">
        <x:v>principal · commit 8dfcc147a3</x:v>
      </x:c>
    </x:row>
    <x:row r="199" ht="48" customHeight="1">
      <x:c r="A199" s="18" t="str">
        <x:v>polynomial-integral-calculator</x:v>
      </x:c>
      <x:c r="B199" s="18" t="str">
        <x:v>Polynomial Integral Calculator</x:v>
      </x:c>
      <x:c r="C199" s="18" t="str">
        <x:v>usefulverse.com</x:v>
      </x:c>
      <x:c r="D199" s="18" t="str">
        <x:v>https://usefulverse.com/tools/polynomial-integral-calculator/</x:v>
      </x:c>
      <x:c r="E199" s="22" t="n">
        <x:v>36</x:v>
      </x:c>
      <x:c r="F199" s="18" t="str">
        <x:v>Sí</x:v>
      </x:c>
      <x:c r="G199" s="18" t="str">
        <x:v>Find a polynomial antiderivative and evaluate a definite integral between two bounds.</x:v>
      </x:c>
      <x:c r="H199" s="18" t="str">
        <x:v>principal · commit 8dfcc147a3</x:v>
      </x:c>
    </x:row>
    <x:row r="200" ht="48" customHeight="1">
      <x:c r="A200" s="18" t="str">
        <x:v>matrix-calculator</x:v>
      </x:c>
      <x:c r="B200" s="18" t="str">
        <x:v>Matrix Calculator</x:v>
      </x:c>
      <x:c r="C200" s="18" t="str">
        <x:v>usefulverse.com</x:v>
      </x:c>
      <x:c r="D200" s="18" t="str">
        <x:v>https://usefulverse.com/tools/matrix-calculator/</x:v>
      </x:c>
      <x:c r="E200" s="22" t="n">
        <x:v>36</x:v>
      </x:c>
      <x:c r="F200" s="18" t="str">
        <x:v>Sí</x:v>
      </x:c>
      <x:c r="G200" s="18" t="str">
        <x:v>Calculate a square matrix determinant or inverse, or transpose a matrix entered by rows.</x:v>
      </x:c>
      <x:c r="H200" s="18" t="str">
        <x:v>principal · commit 8dfcc147a3</x:v>
      </x:c>
    </x:row>
    <x:row r="201" ht="48" customHeight="1">
      <x:c r="A201" s="18" t="str">
        <x:v>truth-table-generator</x:v>
      </x:c>
      <x:c r="B201" s="18" t="str">
        <x:v>Logic Truth Table Generator</x:v>
      </x:c>
      <x:c r="C201" s="18" t="str">
        <x:v>usefulverse.com</x:v>
      </x:c>
      <x:c r="D201" s="18" t="str">
        <x:v>https://usefulverse.com/tools/truth-table-generator/</x:v>
      </x:c>
      <x:c r="E201" s="22" t="n">
        <x:v>36</x:v>
      </x:c>
      <x:c r="F201" s="18" t="str">
        <x:v>Sí</x:v>
      </x:c>
      <x:c r="G201" s="18" t="str">
        <x:v>Build a truth table for a Boolean expression with up to six variables and common logic operators.</x:v>
      </x:c>
      <x:c r="H201" s="18" t="str">
        <x:v>principal · commit 8dfcc147a3</x:v>
      </x:c>
    </x:row>
    <x:row r="202" ht="48" customHeight="1">
      <x:c r="A202" s="18" t="str">
        <x:v>cash-flow-irr-calculator</x:v>
      </x:c>
      <x:c r="B202" s="18" t="str">
        <x:v>NPV and IRR Cash Flow Calculator</x:v>
      </x:c>
      <x:c r="C202" s="18" t="str">
        <x:v>usefulverse.com</x:v>
      </x:c>
      <x:c r="D202" s="18" t="str">
        <x:v>https://usefulverse.com/tools/cash-flow-irr-calculator/</x:v>
      </x:c>
      <x:c r="E202" s="22" t="n">
        <x:v>36</x:v>
      </x:c>
      <x:c r="F202" s="18" t="str">
        <x:v>Sí</x:v>
      </x:c>
      <x:c r="G202" s="18" t="str">
        <x:v>Calculate net present value at a rate you choose and estimate all IRR roots for equally spaced cash flows.</x:v>
      </x:c>
      <x:c r="H202" s="18" t="str">
        <x:v>principal · commit 8dfcc147a3</x:v>
      </x:c>
    </x:row>
    <x:row r="203" ht="48" customHeight="1">
      <x:c r="A203" s="18" t="str">
        <x:v>debt-payoff-planner</x:v>
      </x:c>
      <x:c r="B203" s="18" t="str">
        <x:v>Debt Payoff Planner: Avalanche vs Snowball</x:v>
      </x:c>
      <x:c r="C203" s="18" t="str">
        <x:v>usefulverse.com</x:v>
      </x:c>
      <x:c r="D203" s="18" t="str">
        <x:v>https://usefulverse.com/tools/debt-payoff-planner/</x:v>
      </x:c>
      <x:c r="E203" s="22" t="n">
        <x:v>36</x:v>
      </x:c>
      <x:c r="F203" s="18" t="str">
        <x:v>Sí</x:v>
      </x:c>
      <x:c r="G203" s="18" t="str">
        <x:v>Compare avalanche and snowball payoff plans using your debts, APRs, minimum payments and monthly budget.</x:v>
      </x:c>
      <x:c r="H203" s="18" t="str">
        <x:v>principal · commit 8dfcc147a3</x:v>
      </x:c>
    </x:row>
    <x:row r="204" ht="48" customHeight="1">
      <x:c r="A204" s="18" t="str">
        <x:v>rent-vs-buy-calculator</x:v>
      </x:c>
      <x:c r="B204" s="18" t="str">
        <x:v>Rent vs Buy Calculator</x:v>
      </x:c>
      <x:c r="C204" s="18" t="str">
        <x:v>usefulverse.com</x:v>
      </x:c>
      <x:c r="D204" s="18" t="str">
        <x:v>https://usefulverse.com/tools/rent-vs-buy-calculator/</x:v>
      </x:c>
      <x:c r="E204" s="22" t="n">
        <x:v>36</x:v>
      </x:c>
      <x:c r="F204" s="18" t="str">
        <x:v>Sí</x:v>
      </x:c>
      <x:c r="G204" s="18" t="str">
        <x:v>Compare rent paid with estimated ownership costs and home equity using assumptions you enter.</x:v>
      </x:c>
      <x:c r="H204" s="18" t="str">
        <x:v>principal · commit 8dfcc147a3</x:v>
      </x:c>
    </x:row>
    <x:row r="205" ht="48" customHeight="1">
      <x:c r="A205" s="18" t="str">
        <x:v>statistical-test-calculator</x:v>
      </x:c>
      <x:c r="B205" s="18" t="str">
        <x:v>Statistical Test Calculator</x:v>
      </x:c>
      <x:c r="C205" s="18" t="str">
        <x:v>usefulverse.com</x:v>
      </x:c>
      <x:c r="D205" s="18" t="str">
        <x:v>https://usefulverse.com/tools/statistical-test-calculator/</x:v>
      </x:c>
      <x:c r="E205" s="22" t="n">
        <x:v>36</x:v>
      </x:c>
      <x:c r="F205" s="18" t="str">
        <x:v>Sí</x:v>
      </x:c>
      <x:c r="G205" s="18" t="str">
        <x:v>Run a one-sample t-test, chi-square goodness-of-fit test or one-way ANOVA with stated assumptions.</x:v>
      </x:c>
      <x:c r="H205" s="18" t="str">
        <x:v>principal · commit 8dfcc147a3</x:v>
      </x:c>
    </x:row>
    <x:row r="206" ht="48" customHeight="1">
      <x:c r="A206" s="18" t="str">
        <x:v>citation-generator</x:v>
      </x:c>
      <x:c r="B206" s="18" t="str">
        <x:v>APA, MLA and Chicago Citation Generator</x:v>
      </x:c>
      <x:c r="C206" s="18" t="str">
        <x:v>usefulverse.com</x:v>
      </x:c>
      <x:c r="D206" s="18" t="str">
        <x:v>https://usefulverse.com/tools/citation-generator/</x:v>
      </x:c>
      <x:c r="E206" s="22" t="n">
        <x:v>36</x:v>
      </x:c>
      <x:c r="F206" s="18" t="str">
        <x:v>Sí</x:v>
      </x:c>
      <x:c r="G206" s="18" t="str">
        <x:v>Format a basic book or webpage citation from details you enter, then copy it.</x:v>
      </x:c>
      <x:c r="H206" s="18" t="str">
        <x:v>principal · commit 8dfcc147a3</x:v>
      </x:c>
    </x:row>
    <x:row r="207" ht="48" customHeight="1">
      <x:c r="A207" s="18" t="str">
        <x:v>json-schema-validator</x:v>
      </x:c>
      <x:c r="B207" s="18" t="str">
        <x:v>JSON Schema Validator</x:v>
      </x:c>
      <x:c r="C207" s="18" t="str">
        <x:v>usefulverse.com</x:v>
      </x:c>
      <x:c r="D207" s="18" t="str">
        <x:v>https://usefulverse.com/tools/json-schema-validator/</x:v>
      </x:c>
      <x:c r="E207" s="22" t="n">
        <x:v>36</x:v>
      </x:c>
      <x:c r="F207" s="18" t="str">
        <x:v>Sí</x:v>
      </x:c>
      <x:c r="G207" s="18" t="str">
        <x:v>Validate JSON against a local JSON Schema using common Draft 7 keywords.</x:v>
      </x:c>
      <x:c r="H207" s="18" t="str">
        <x:v>principal · commit 8dfcc147a3</x:v>
      </x:c>
    </x:row>
    <x:row r="208" ht="48" customHeight="1">
      <x:c r="A208" s="18" t="str">
        <x:v>jsonpath-query-tool</x:v>
      </x:c>
      <x:c r="B208" s="18" t="str">
        <x:v>JSONPath Query Tool</x:v>
      </x:c>
      <x:c r="C208" s="18" t="str">
        <x:v>usefulverse.com</x:v>
      </x:c>
      <x:c r="D208" s="18" t="str">
        <x:v>https://usefulverse.com/tools/jsonpath-query-tool/</x:v>
      </x:c>
      <x:c r="E208" s="22" t="n">
        <x:v>36</x:v>
      </x:c>
      <x:c r="F208" s="18" t="str">
        <x:v>Sí</x:v>
      </x:c>
      <x:c r="G208" s="18" t="str">
        <x:v>Query JSON locally with a safe subset of JSONPath selectors and filters.</x:v>
      </x:c>
      <x:c r="H208" s="18" t="str">
        <x:v>principal · commit 8dfcc147a3</x:v>
      </x:c>
    </x:row>
    <x:row r="209" ht="48" customHeight="1">
      <x:c r="A209" s="18" t="str">
        <x:v>printable-calendar-maker</x:v>
      </x:c>
      <x:c r="B209" s="18" t="str">
        <x:v>Printable Calendar Maker</x:v>
      </x:c>
      <x:c r="C209" s="18" t="str">
        <x:v>usefulverse.com</x:v>
      </x:c>
      <x:c r="D209" s="18" t="str">
        <x:v>https://usefulverse.com/tools/printable-calendar-maker/</x:v>
      </x:c>
      <x:c r="E209" s="22" t="n">
        <x:v>36</x:v>
      </x:c>
      <x:c r="F209" s="18" t="str">
        <x:v>Sí</x:v>
      </x:c>
      <x:c r="G209" s="18" t="str">
        <x:v>Create a clean monthly calendar grid you can copy or print from this device.</x:v>
      </x:c>
      <x:c r="H209" s="18" t="str">
        <x:v>principal · commit 8dfcc147a3</x:v>
      </x:c>
    </x:row>
    <x:row r="210" ht="48" customHeight="1">
      <x:c r="A210" s="18" t="str">
        <x:v>flashcard-maker</x:v>
      </x:c>
      <x:c r="B210" s="18" t="str">
        <x:v>Flashcard Maker</x:v>
      </x:c>
      <x:c r="C210" s="18" t="str">
        <x:v>usefulverse.com</x:v>
      </x:c>
      <x:c r="D210" s="18" t="str">
        <x:v>https://usefulverse.com/tools/flashcard-maker/</x:v>
      </x:c>
      <x:c r="E210" s="22" t="n">
        <x:v>36</x:v>
      </x:c>
      <x:c r="F210" s="18" t="str">
        <x:v>Sí</x:v>
      </x:c>
      <x:c r="G210" s="18" t="str">
        <x:v>Turn term-and-definition rows into a simple study deck for review or printing.</x:v>
      </x:c>
      <x:c r="H210" s="18" t="str">
        <x:v>principal · commit 8dfcc147a3</x:v>
      </x:c>
    </x:row>
    <x:row r="211" ht="48" customHeight="1">
      <x:c r="A211" s="18" t="str">
        <x:v>word-search-maker</x:v>
      </x:c>
      <x:c r="B211" s="18" t="str">
        <x:v>Word Search Puzzle Maker</x:v>
      </x:c>
      <x:c r="C211" s="18" t="str">
        <x:v>usefulverse.com</x:v>
      </x:c>
      <x:c r="D211" s="18" t="str">
        <x:v>https://usefulverse.com/tools/word-search-maker/</x:v>
      </x:c>
      <x:c r="E211" s="22" t="n">
        <x:v>36</x:v>
      </x:c>
      <x:c r="F211" s="18" t="str">
        <x:v>Sí</x:v>
      </x:c>
      <x:c r="G211" s="18" t="str">
        <x:v>Generate a word search puzzle that preserves letters from your writing system, with an answer key.</x:v>
      </x:c>
      <x:c r="H211" s="18" t="str">
        <x:v>principal · commit 8dfcc147a3</x:v>
      </x:c>
    </x:row>
    <x:row r="212" ht="48" customHeight="1">
      <x:c r="A212" s="18" t="str">
        <x:v>bingo-card-generator</x:v>
      </x:c>
      <x:c r="B212" s="18" t="str">
        <x:v>Bingo Card Generator</x:v>
      </x:c>
      <x:c r="C212" s="18" t="str">
        <x:v>usefulverse.com</x:v>
      </x:c>
      <x:c r="D212" s="18" t="str">
        <x:v>https://usefulverse.com/tools/bingo-card-generator/</x:v>
      </x:c>
      <x:c r="E212" s="22" t="n">
        <x:v>36</x:v>
      </x:c>
      <x:c r="F212" s="18" t="str">
        <x:v>Sí</x:v>
      </x:c>
      <x:c r="G212" s="18" t="str">
        <x:v>Generate reproducible 5×5 bingo cards from your own word or number pool.</x:v>
      </x:c>
      <x:c r="H212" s="18" t="str">
        <x:v>principal · commit 8dfcc147a3</x:v>
      </x:c>
    </x:row>
    <x:row r="213" ht="48" customHeight="1">
      <x:c r="A213" s="18" t="str">
        <x:v>adult-bmi-calculator</x:v>
      </x:c>
      <x:c r="B213" s="18" t="str">
        <x:v>Adult BMI Calculator</x:v>
      </x:c>
      <x:c r="C213" s="18" t="str">
        <x:v>usefulverse.com</x:v>
      </x:c>
      <x:c r="D213" s="18" t="str">
        <x:v>https://usefulverse.com/tools/adult-bmi-calculator/</x:v>
      </x:c>
      <x:c r="E213" s="22" t="n">
        <x:v>36</x:v>
      </x:c>
      <x:c r="F213" s="18" t="str">
        <x:v>Sí</x:v>
      </x:c>
      <x:c r="G213" s="18" t="str">
        <x:v>Calculate body mass index from adult height and weight using metric or US units.</x:v>
      </x:c>
      <x:c r="H213" s="18" t="str">
        <x:v>principal · commit 8dfcc147a3</x:v>
      </x:c>
    </x:row>
    <x:row r="214" ht="48" customHeight="1">
      <x:c r="A214" s="18" t="str">
        <x:v>bmr-tdee-calculator</x:v>
      </x:c>
      <x:c r="B214" s="18" t="str">
        <x:v>BMR and TDEE Calculator</x:v>
      </x:c>
      <x:c r="C214" s="18" t="str">
        <x:v>usefulverse.com</x:v>
      </x:c>
      <x:c r="D214" s="18" t="str">
        <x:v>https://usefulverse.com/tools/bmr-tdee-calculator/</x:v>
      </x:c>
      <x:c r="E214" s="22" t="n">
        <x:v>36</x:v>
      </x:c>
      <x:c r="F214" s="18" t="str">
        <x:v>Sí</x:v>
      </x:c>
      <x:c r="G214" s="18" t="str">
        <x:v>Estimate resting energy and daily energy needs from the Mifflin–St Jeor equation and an activity factor.</x:v>
      </x:c>
      <x:c r="H214" s="18" t="str">
        <x:v>principal · commit 8dfcc147a3</x:v>
      </x:c>
    </x:row>
    <x:row r="215" ht="48" customHeight="1">
      <x:c r="A215" s="18" t="str">
        <x:v>macro-calorie-calculator</x:v>
      </x:c>
      <x:c r="B215" s="18" t="str">
        <x:v>Macro and Calorie Calculator</x:v>
      </x:c>
      <x:c r="C215" s="18" t="str">
        <x:v>usefulverse.com</x:v>
      </x:c>
      <x:c r="D215" s="18" t="str">
        <x:v>https://usefulverse.com/tools/macro-calorie-calculator/</x:v>
      </x:c>
      <x:c r="E215" s="22" t="n">
        <x:v>36</x:v>
      </x:c>
      <x:c r="F215" s="18" t="str">
        <x:v>Sí</x:v>
      </x:c>
      <x:c r="G215" s="18" t="str">
        <x:v>Split a calorie target you provide into protein, carbohydrate and fat grams by percentage.</x:v>
      </x:c>
      <x:c r="H215" s="18" t="str">
        <x:v>principal · commit 8dfcc147a3</x:v>
      </x:c>
    </x:row>
    <x:row r="216" ht="48" customHeight="1">
      <x:c r="A216" s="18" t="str">
        <x:v>running-pace-calculator</x:v>
      </x:c>
      <x:c r="B216" s="18" t="str">
        <x:v>Running Pace Calculator</x:v>
      </x:c>
      <x:c r="C216" s="18" t="str">
        <x:v>usefulverse.com</x:v>
      </x:c>
      <x:c r="D216" s="18" t="str">
        <x:v>https://usefulverse.com/tools/running-pace-calculator/</x:v>
      </x:c>
      <x:c r="E216" s="22" t="n">
        <x:v>36</x:v>
      </x:c>
      <x:c r="F216" s="18" t="str">
        <x:v>Sí</x:v>
      </x:c>
      <x:c r="G216" s="18" t="str">
        <x:v>Calculate pace or finish time from a distance and elapsed time.</x:v>
      </x:c>
      <x:c r="H216" s="18" t="str">
        <x:v>principal · commit 8dfcc147a3</x:v>
      </x:c>
    </x:row>
    <x:row r="217" ht="48" customHeight="1">
      <x:c r="A217" s="18" t="str">
        <x:v>one-rep-max-calculator</x:v>
      </x:c>
      <x:c r="B217" s="18" t="str">
        <x:v>One Rep Max Calculator</x:v>
      </x:c>
      <x:c r="C217" s="18" t="str">
        <x:v>usefulverse.com</x:v>
      </x:c>
      <x:c r="D217" s="18" t="str">
        <x:v>https://usefulverse.com/tools/one-rep-max-calculator/</x:v>
      </x:c>
      <x:c r="E217" s="22" t="n">
        <x:v>36</x:v>
      </x:c>
      <x:c r="F217" s="18" t="str">
        <x:v>Sí</x:v>
      </x:c>
      <x:c r="G217" s="18" t="str">
        <x:v>Estimate a one-repetition maximum from a submaximal weight and repetitions using common formulas.</x:v>
      </x:c>
      <x:c r="H217" s="18" t="str">
        <x:v>principal · commit 8dfcc147a3</x:v>
      </x:c>
    </x:row>
    <x:row r="218" ht="48" customHeight="1">
      <x:c r="A218" s="18" t="str">
        <x:v>cover-letter-builder</x:v>
      </x:c>
      <x:c r="B218" s="18" t="str">
        <x:v>Cover Letter Builder</x:v>
      </x:c>
      <x:c r="C218" s="18" t="str">
        <x:v>usefulverse.com</x:v>
      </x:c>
      <x:c r="D218" s="18" t="str">
        <x:v>https://usefulverse.com/tools/cover-letter-builder/</x:v>
      </x:c>
      <x:c r="E218" s="22" t="n">
        <x:v>36</x:v>
      </x:c>
      <x:c r="F218" s="18" t="str">
        <x:v>Sí</x:v>
      </x:c>
      <x:c r="G218" s="18" t="str">
        <x:v>Draft a concise editable cover letter from your own role, experience and contact details.</x:v>
      </x:c>
      <x:c r="H218" s="18" t="str">
        <x:v>principal · commit 8dfcc147a3</x:v>
      </x:c>
    </x:row>
    <x:row r="219" ht="48" customHeight="1">
      <x:c r="A219" s="18" t="str">
        <x:v>test-data-generator</x:v>
      </x:c>
      <x:c r="B219" s="18" t="str">
        <x:v>Test Data Generator</x:v>
      </x:c>
      <x:c r="C219" s="18" t="str">
        <x:v>usefulverse.com</x:v>
      </x:c>
      <x:c r="D219" s="18" t="str">
        <x:v>https://usefulverse.com/tools/test-data-generator/</x:v>
      </x:c>
      <x:c r="E219" s="22" t="n">
        <x:v>36</x:v>
      </x:c>
      <x:c r="F219" s="18" t="str">
        <x:v>Sí</x:v>
      </x:c>
      <x:c r="G219" s="18" t="str">
        <x:v>Generate repeatable sample records from a small field schema and export-ready JSON.</x:v>
      </x:c>
      <x:c r="H219" s="18" t="str">
        <x:v>principal · commit 8dfcc147a3</x:v>
      </x:c>
    </x:row>
    <x:row r="220" ht="48" customHeight="1">
      <x:c r="A220" s="18" t="str">
        <x:v>math-worksheet-generator</x:v>
      </x:c>
      <x:c r="B220" s="18" t="str">
        <x:v>Math Worksheet Generator</x:v>
      </x:c>
      <x:c r="C220" s="18" t="str">
        <x:v>usefulverse.com</x:v>
      </x:c>
      <x:c r="D220" s="18" t="str">
        <x:v>https://usefulverse.com/tools/math-worksheet-generator/</x:v>
      </x:c>
      <x:c r="E220" s="22" t="n">
        <x:v>36</x:v>
      </x:c>
      <x:c r="F220" s="18" t="str">
        <x:v>Sí</x:v>
      </x:c>
      <x:c r="G220" s="18" t="str">
        <x:v>Create a printable arithmetic worksheet with a separate answer key and reproducible questions.</x:v>
      </x:c>
      <x:c r="H220" s="18" t="str">
        <x:v>principal · commit 8dfcc147a3</x:v>
      </x:c>
    </x:row>
    <x:row r="221" ht="48" customHeight="1">
      <x:c r="A221" s="18" t="str">
        <x:v>local-notepad</x:v>
      </x:c>
      <x:c r="B221" s="18" t="str">
        <x:v>Private Local Notepad</x:v>
      </x:c>
      <x:c r="C221" s="18" t="str">
        <x:v>usefulverse.com</x:v>
      </x:c>
      <x:c r="D221" s="18" t="str">
        <x:v>https://usefulverse.com/tools/local-notepad/</x:v>
      </x:c>
      <x:c r="E221" s="22" t="n">
        <x:v>36</x:v>
      </x:c>
      <x:c r="F221" s="18" t="str">
        <x:v>Sí</x:v>
      </x:c>
      <x:c r="G221" s="18" t="str">
        <x:v>Write, search, copy and download notes in your browser without sending them to a server.</x:v>
      </x:c>
      <x:c r="H221" s="18" t="str">
        <x:v>principal · commit 8dfcc147a3</x:v>
      </x:c>
    </x:row>
    <x:row r="222" ht="48" customHeight="1">
      <x:c r="A222" s="18" t="str">
        <x:v>teleprompter-online</x:v>
      </x:c>
      <x:c r="B222" s="18" t="str">
        <x:v>Online Teleprompter</x:v>
      </x:c>
      <x:c r="C222" s="18" t="str">
        <x:v>usefulverse.com</x:v>
      </x:c>
      <x:c r="D222" s="18" t="str">
        <x:v>https://usefulverse.com/tools/teleprompter-online/</x:v>
      </x:c>
      <x:c r="E222" s="22" t="n">
        <x:v>36</x:v>
      </x:c>
      <x:c r="F222" s="18" t="str">
        <x:v>Sí</x:v>
      </x:c>
      <x:c r="G222" s="18" t="str">
        <x:v>Read a script with adjustable scroll speed and text size, plus pause and mirror controls.</x:v>
      </x:c>
      <x:c r="H222" s="18" t="str">
        <x:v>principal · commit 8dfcc147a3</x:v>
      </x:c>
    </x:row>
    <x:row r="223" ht="48" customHeight="1">
      <x:c r="A223" s="18" t="str">
        <x:v>function-grapher</x:v>
      </x:c>
      <x:c r="B223" s="18" t="str">
        <x:v>Function Grapher</x:v>
      </x:c>
      <x:c r="C223" s="18" t="str">
        <x:v>usefulverse.com</x:v>
      </x:c>
      <x:c r="D223" s="18" t="str">
        <x:v>https://usefulverse.com/tools/function-grapher/</x:v>
      </x:c>
      <x:c r="E223" s="22" t="n">
        <x:v>36</x:v>
      </x:c>
      <x:c r="F223" s="18" t="str">
        <x:v>Sí</x:v>
      </x:c>
      <x:c r="G223" s="18" t="str">
        <x:v>Plot supported polynomial functions locally and inspect a chosen x-value.</x:v>
      </x:c>
      <x:c r="H223" s="18" t="str">
        <x:v>principal · commit 8dfcc147a3</x:v>
      </x:c>
    </x:row>
    <x:row r="224" ht="48" customHeight="1">
      <x:c r="A224" s="18" t="str">
        <x:v>crossword-maker</x:v>
      </x:c>
      <x:c r="B224" s="18" t="str">
        <x:v>Crossword Maker</x:v>
      </x:c>
      <x:c r="C224" s="18" t="str">
        <x:v>usefulverse.com</x:v>
      </x:c>
      <x:c r="D224" s="18" t="str">
        <x:v>https://usefulverse.com/tools/crossword-maker/</x:v>
      </x:c>
      <x:c r="E224" s="22" t="n">
        <x:v>36</x:v>
      </x:c>
      <x:c r="F224" s="18" t="str">
        <x:v>Sí</x:v>
      </x:c>
      <x:c r="G224" s="18" t="str">
        <x:v>Arrange your own answer-and-clue pairs into a connected printable crossword.</x:v>
      </x:c>
      <x:c r="H224" s="18" t="str">
        <x:v>principal · commit 8dfcc147a3</x:v>
      </x:c>
    </x:row>
    <x:row r="225" ht="48" customHeight="1">
      <x:c r="A225" s="18" t="str">
        <x:v>html-formatter</x:v>
      </x:c>
      <x:c r="B225" s="18" t="str">
        <x:v>HTML Formatter and Minifier</x:v>
      </x:c>
      <x:c r="C225" s="18" t="str">
        <x:v>usefulverse.com</x:v>
      </x:c>
      <x:c r="D225" s="18" t="str">
        <x:v>https://usefulverse.com/tools/html-formatter/</x:v>
      </x:c>
      <x:c r="E225" s="22" t="n">
        <x:v>36</x:v>
      </x:c>
      <x:c r="F225" s="18" t="str">
        <x:v>Sí</x:v>
      </x:c>
      <x:c r="G225" s="18" t="str">
        <x:v>Format HTML or conservatively minify markup with local parsing; input is never executed.</x:v>
      </x:c>
      <x:c r="H225" s="18" t="str">
        <x:v>principal · commit 8dfcc147a3</x:v>
      </x:c>
    </x:row>
    <x:row r="226" ht="48" customHeight="1">
      <x:c r="A226" s="18" t="str">
        <x:v>css-formatter</x:v>
      </x:c>
      <x:c r="B226" s="18" t="str">
        <x:v>CSS Formatter and Minifier</x:v>
      </x:c>
      <x:c r="C226" s="18" t="str">
        <x:v>usefulverse.com</x:v>
      </x:c>
      <x:c r="D226" s="18" t="str">
        <x:v>https://usefulverse.com/tools/css-formatter/</x:v>
      </x:c>
      <x:c r="E226" s="22" t="n">
        <x:v>36</x:v>
      </x:c>
      <x:c r="F226" s="18" t="str">
        <x:v>Sí</x:v>
      </x:c>
      <x:c r="G226" s="18" t="str">
        <x:v>Indent CSS or remove comments and whitespace while preserving strings, custom properties and calc expressions.</x:v>
      </x:c>
      <x:c r="H226" s="18" t="str">
        <x:v>principal · commit 8dfcc147a3</x:v>
      </x:c>
    </x:row>
    <x:row r="227" ht="48" customHeight="1">
      <x:c r="A227" s="18" t="str">
        <x:v>javascript-formatter</x:v>
      </x:c>
      <x:c r="B227" s="18" t="str">
        <x:v>JavaScript Formatter and Minifier</x:v>
      </x:c>
      <x:c r="C227" s="18" t="str">
        <x:v>usefulverse.com</x:v>
      </x:c>
      <x:c r="D227" s="18" t="str">
        <x:v>https://usefulverse.com/tools/javascript-formatter/</x:v>
      </x:c>
      <x:c r="E227" s="22" t="n">
        <x:v>36</x:v>
      </x:c>
      <x:c r="F227" s="18" t="str">
        <x:v>Sí</x:v>
      </x:c>
      <x:c r="G227" s="18" t="str">
        <x:v>Format JavaScript with a bundled parser and minify without executing the source.</x:v>
      </x:c>
      <x:c r="H227" s="18" t="str">
        <x:v>principal · commit 8dfcc147a3</x:v>
      </x:c>
    </x:row>
    <x:row r="228" ht="48" customHeight="1">
      <x:c r="A228" s="18" t="str">
        <x:v>html-css-js-playground</x:v>
      </x:c>
      <x:c r="B228" s="18" t="str">
        <x:v>HTML CSS JavaScript Playground</x:v>
      </x:c>
      <x:c r="C228" s="18" t="str">
        <x:v>usefulverse.com</x:v>
      </x:c>
      <x:c r="D228" s="18" t="str">
        <x:v>https://usefulverse.com/tools/html-css-js-playground/</x:v>
      </x:c>
      <x:c r="E228" s="22" t="n">
        <x:v>36</x:v>
      </x:c>
      <x:c r="F228" s="18" t="str">
        <x:v>Sí</x:v>
      </x:c>
      <x:c r="G228" s="18" t="str">
        <x:v>Edit a small page and preview it in a sandboxed frame on your device.</x:v>
      </x:c>
      <x:c r="H228" s="18" t="str">
        <x:v>principal · commit 8dfcc147a3</x:v>
      </x:c>
    </x:row>
    <x:row r="229" ht="48" customHeight="1">
      <x:c r="A229" s="18" t="str">
        <x:v>sqlite-playground</x:v>
      </x:c>
      <x:c r="B229" s="18" t="str">
        <x:v>SQLite Playground</x:v>
      </x:c>
      <x:c r="C229" s="18" t="str">
        <x:v>usefulverse.com</x:v>
      </x:c>
      <x:c r="D229" s="18" t="str">
        <x:v>https://usefulverse.com/tools/sqlite-playground/</x:v>
      </x:c>
      <x:c r="E229" s="22" t="n">
        <x:v>36</x:v>
      </x:c>
      <x:c r="F229" s="18" t="str">
        <x:v>Sí</x:v>
      </x:c>
      <x:c r="G229" s="18" t="str">
        <x:v>Run SQLite queries on a temporary in-memory database in your browser.</x:v>
      </x:c>
      <x:c r="H229" s="18" t="str">
        <x:v>principal · commit 8dfcc147a3</x:v>
      </x:c>
    </x:row>
    <x:row r="230" ht="48" customHeight="1">
      <x:c r="A230" s="18" t="str">
        <x:v>cron-expression-builder</x:v>
      </x:c>
      <x:c r="B230" s="18" t="str">
        <x:v>Cron Expression Builder</x:v>
      </x:c>
      <x:c r="C230" s="18" t="str">
        <x:v>usefulverse.com</x:v>
      </x:c>
      <x:c r="D230" s="18" t="str">
        <x:v>https://usefulverse.com/tools/cron-expression-builder/</x:v>
      </x:c>
      <x:c r="E230" s="22" t="n">
        <x:v>36</x:v>
      </x:c>
      <x:c r="F230" s="18" t="str">
        <x:v>Sí</x:v>
      </x:c>
      <x:c r="G230" s="18" t="str">
        <x:v>Build and explain common five-field Unix cron schedules with a chosen time zone note.</x:v>
      </x:c>
      <x:c r="H230" s="18" t="str">
        <x:v>principal · commit 8dfcc147a3</x:v>
      </x:c>
    </x:row>
    <x:row r="231" ht="48" customHeight="1">
      <x:c r="A231" s="18" t="str">
        <x:v>hex-editor</x:v>
      </x:c>
      <x:c r="B231" s="18" t="str">
        <x:v>Hex Editor</x:v>
      </x:c>
      <x:c r="C231" s="18" t="str">
        <x:v>usefulverse.com</x:v>
      </x:c>
      <x:c r="D231" s="18" t="str">
        <x:v>https://usefulverse.com/tools/hex-editor/</x:v>
      </x:c>
      <x:c r="E231" s="22" t="n">
        <x:v>36</x:v>
      </x:c>
      <x:c r="F231" s="18" t="str">
        <x:v>Sí</x:v>
      </x:c>
      <x:c r="G231" s="18" t="str">
        <x:v>Inspect bytes as hexadecimal and text, edit a bounded byte sequence and download a new file.</x:v>
      </x:c>
      <x:c r="H231" s="18" t="str">
        <x:v>principal · commit 8dfcc147a3</x:v>
      </x:c>
    </x:row>
    <x:row r="232" ht="48" customHeight="1">
      <x:c r="A232" s="18" t="str">
        <x:v>image-editor</x:v>
      </x:c>
      <x:c r="B232" s="18" t="str">
        <x:v>Image Editor</x:v>
      </x:c>
      <x:c r="C232" s="18" t="str">
        <x:v>usefulverse.com</x:v>
      </x:c>
      <x:c r="D232" s="18" t="str">
        <x:v>https://usefulverse.com/tools/image-editor/</x:v>
      </x:c>
      <x:c r="E232" s="22" t="n">
        <x:v>36</x:v>
      </x:c>
      <x:c r="F232" s="18" t="str">
        <x:v>Sí</x:v>
      </x:c>
      <x:c r="G232" s="18" t="str">
        <x:v>Make simple brightness, contrast, saturation and rotation adjustments locally.</x:v>
      </x:c>
      <x:c r="H232" s="18" t="str">
        <x:v>principal · commit 8dfcc147a3</x:v>
      </x:c>
    </x:row>
    <x:row r="233" ht="48" customHeight="1">
      <x:c r="A233" s="18" t="str">
        <x:v>image-watermark-tool</x:v>
      </x:c>
      <x:c r="B233" s="18" t="str">
        <x:v>Image Watermark Tool</x:v>
      </x:c>
      <x:c r="C233" s="18" t="str">
        <x:v>usefulverse.com</x:v>
      </x:c>
      <x:c r="D233" s="18" t="str">
        <x:v>https://usefulverse.com/tools/image-watermark-tool/</x:v>
      </x:c>
      <x:c r="E233" s="22" t="n">
        <x:v>36</x:v>
      </x:c>
      <x:c r="F233" s="18" t="str">
        <x:v>Sí</x:v>
      </x:c>
      <x:c r="G233" s="18" t="str">
        <x:v>Add a text watermark to an image in your browser and download a separate copy.</x:v>
      </x:c>
      <x:c r="H233" s="18" t="str">
        <x:v>principal · commit 8dfcc147a3</x:v>
      </x:c>
    </x:row>
    <x:row r="234" ht="48" customHeight="1">
      <x:c r="A234" s="18" t="str">
        <x:v>passport-photo-maker</x:v>
      </x:c>
      <x:c r="B234" s="18" t="str">
        <x:v>Passport Photo Maker</x:v>
      </x:c>
      <x:c r="C234" s="18" t="str">
        <x:v>usefulverse.com</x:v>
      </x:c>
      <x:c r="D234" s="18" t="str">
        <x:v>https://usefulverse.com/tools/passport-photo-maker/</x:v>
      </x:c>
      <x:c r="E234" s="22" t="n">
        <x:v>36</x:v>
      </x:c>
      <x:c r="F234" s="18" t="str">
        <x:v>Sí</x:v>
      </x:c>
      <x:c r="G234" s="18" t="str">
        <x:v>Crop a personal photo to a custom width and height and download it locally.</x:v>
      </x:c>
      <x:c r="H234" s="18" t="str">
        <x:v>principal · commit 8dfcc147a3</x:v>
      </x:c>
    </x:row>
    <x:row r="235" ht="48" customHeight="1">
      <x:c r="A235" s="18" t="str">
        <x:v>meme-maker</x:v>
      </x:c>
      <x:c r="B235" s="18" t="str">
        <x:v>Meme Maker</x:v>
      </x:c>
      <x:c r="C235" s="18" t="str">
        <x:v>usefulverse.com</x:v>
      </x:c>
      <x:c r="D235" s="18" t="str">
        <x:v>https://usefulverse.com/tools/meme-maker/</x:v>
      </x:c>
      <x:c r="E235" s="22" t="n">
        <x:v>36</x:v>
      </x:c>
      <x:c r="F235" s="18" t="str">
        <x:v>Sí</x:v>
      </x:c>
      <x:c r="G235" s="18" t="str">
        <x:v>Add top and bottom text to an image you provide and download the result.</x:v>
      </x:c>
      <x:c r="H235" s="18" t="str">
        <x:v>principal · commit 8dfcc147a3</x:v>
      </x:c>
    </x:row>
    <x:row r="236" ht="48" customHeight="1">
      <x:c r="A236" s="18" t="str">
        <x:v>svg-optimizer</x:v>
      </x:c>
      <x:c r="B236" s="18" t="str">
        <x:v>SVG Optimizer</x:v>
      </x:c>
      <x:c r="C236" s="18" t="str">
        <x:v>usefulverse.com</x:v>
      </x:c>
      <x:c r="D236" s="18" t="str">
        <x:v>https://usefulverse.com/tools/svg-optimizer/</x:v>
      </x:c>
      <x:c r="E236" s="22" t="n">
        <x:v>36</x:v>
      </x:c>
      <x:c r="F236" s="18" t="str">
        <x:v>Sí</x:v>
      </x:c>
      <x:c r="G236" s="18" t="str">
        <x:v>Remove safe comments and redundant whitespace from an SVG while preserving vector markup.</x:v>
      </x:c>
      <x:c r="H236" s="18" t="str">
        <x:v>principal · commit 8dfcc147a3</x:v>
      </x:c>
    </x:row>
    <x:row r="237" ht="48" customHeight="1">
      <x:c r="A237" s="18" t="str">
        <x:v>pixel-art-editor</x:v>
      </x:c>
      <x:c r="B237" s="18" t="str">
        <x:v>Pixel Art Editor</x:v>
      </x:c>
      <x:c r="C237" s="18" t="str">
        <x:v>usefulverse.com</x:v>
      </x:c>
      <x:c r="D237" s="18" t="str">
        <x:v>https://usefulverse.com/tools/pixel-art-editor/</x:v>
      </x:c>
      <x:c r="E237" s="22" t="n">
        <x:v>36</x:v>
      </x:c>
      <x:c r="F237" s="18" t="str">
        <x:v>Sí</x:v>
      </x:c>
      <x:c r="G237" s="18" t="str">
        <x:v>Draw on a small pixel grid and export a crisp PNG without smoothing.</x:v>
      </x:c>
      <x:c r="H237" s="18" t="str">
        <x:v>principal · commit 8dfcc147a3</x:v>
      </x:c>
    </x:row>
    <x:row r="238" ht="48" customHeight="1">
      <x:c r="A238" s="18" t="str">
        <x:v>chart-maker</x:v>
      </x:c>
      <x:c r="B238" s="18" t="str">
        <x:v>Chart Maker from CSV</x:v>
      </x:c>
      <x:c r="C238" s="18" t="str">
        <x:v>usefulverse.com</x:v>
      </x:c>
      <x:c r="D238" s="18" t="str">
        <x:v>https://usefulverse.com/tools/chart-maker/</x:v>
      </x:c>
      <x:c r="E238" s="22" t="n">
        <x:v>36</x:v>
      </x:c>
      <x:c r="F238" s="18" t="str">
        <x:v>Sí</x:v>
      </x:c>
      <x:c r="G238" s="18" t="str">
        <x:v>Create a simple bar or line chart from local CSV data and download it as SVG.</x:v>
      </x:c>
      <x:c r="H238" s="18" t="str">
        <x:v>principal · commit 8dfcc147a3</x:v>
      </x:c>
    </x:row>
    <x:row r="239" ht="48" customHeight="1">
      <x:c r="A239" s="18" t="str">
        <x:v>diagram-maker</x:v>
      </x:c>
      <x:c r="B239" s="18" t="str">
        <x:v>Simple Diagram Maker</x:v>
      </x:c>
      <x:c r="C239" s="18" t="str">
        <x:v>usefulverse.com</x:v>
      </x:c>
      <x:c r="D239" s="18" t="str">
        <x:v>https://usefulverse.com/tools/diagram-maker/</x:v>
      </x:c>
      <x:c r="E239" s="22" t="n">
        <x:v>36</x:v>
      </x:c>
      <x:c r="F239" s="18" t="str">
        <x:v>Sí</x:v>
      </x:c>
      <x:c r="G239" s="18" t="str">
        <x:v>Turn one label per line into a simple connected process diagram for local export.</x:v>
      </x:c>
      <x:c r="H239" s="18" t="str">
        <x:v>principal · commit 8dfcc147a3</x:v>
      </x:c>
    </x:row>
    <x:row r="240" ht="48" customHeight="1">
      <x:c r="A240" s="18" t="str">
        <x:v>latex-equation-renderer</x:v>
      </x:c>
      <x:c r="B240" s="18" t="str">
        <x:v>LaTeX Equation Renderer</x:v>
      </x:c>
      <x:c r="C240" s="18" t="str">
        <x:v>usefulverse.com</x:v>
      </x:c>
      <x:c r="D240" s="18" t="str">
        <x:v>https://usefulverse.com/tools/latex-equation-renderer/</x:v>
      </x:c>
      <x:c r="E240" s="22" t="n">
        <x:v>36</x:v>
      </x:c>
      <x:c r="F240" s="18" t="str">
        <x:v>Sí</x:v>
      </x:c>
      <x:c r="G240" s="18" t="str">
        <x:v>Render a supported math expression locally and copy or download its SVG.</x:v>
      </x:c>
      <x:c r="H240" s="18" t="str">
        <x:v>principal · commit 8dfcc147a3</x:v>
      </x:c>
    </x:row>
    <x:row r="241" ht="48" customHeight="1">
      <x:c r="A241" s="18" t="str">
        <x:v>business-card-maker</x:v>
      </x:c>
      <x:c r="B241" s="18" t="str">
        <x:v>Business Card Maker</x:v>
      </x:c>
      <x:c r="C241" s="18" t="str">
        <x:v>usefulverse.com</x:v>
      </x:c>
      <x:c r="D241" s="18" t="str">
        <x:v>https://usefulverse.com/tools/business-card-maker/</x:v>
      </x:c>
      <x:c r="E241" s="22" t="n">
        <x:v>36</x:v>
      </x:c>
      <x:c r="F241" s="18" t="str">
        <x:v>Sí</x:v>
      </x:c>
      <x:c r="G241" s="18" t="str">
        <x:v>Arrange your own contact details on a standard-size card and print or save a PDF.</x:v>
      </x:c>
      <x:c r="H241" s="18" t="str">
        <x:v>principal · commit 8dfcc147a3</x:v>
      </x:c>
    </x:row>
    <x:row r="242" ht="48" customHeight="1">
      <x:c r="A242" s="18" t="str">
        <x:v>body-fat-calculator</x:v>
      </x:c>
      <x:c r="B242" s="18" t="str">
        <x:v>Body Fat Estimate Calculator</x:v>
      </x:c>
      <x:c r="C242" s="18" t="str">
        <x:v>usefulverse.com</x:v>
      </x:c>
      <x:c r="D242" s="18" t="str">
        <x:v>https://usefulverse.com/tools/body-fat-calculator/</x:v>
      </x:c>
      <x:c r="E242" s="22" t="n">
        <x:v>36</x:v>
      </x:c>
      <x:c r="F242" s="18" t="str">
        <x:v>Sí</x:v>
      </x:c>
      <x:c r="G242" s="18" t="str">
        <x:v>Estimate adult body-fat percentage from circumference measurements using a published Navy method.</x:v>
      </x:c>
      <x:c r="H242" s="18" t="str">
        <x:v>principal · commit 8dfcc147a3</x:v>
      </x:c>
    </x:row>
    <x:row r="243" ht="48" customHeight="1">
      <x:c r="A243" s="18" t="str">
        <x:v>due-date-calculator</x:v>
      </x:c>
      <x:c r="B243" s="18" t="str">
        <x:v>Pregnancy Due Date Calculator</x:v>
      </x:c>
      <x:c r="C243" s="18" t="str">
        <x:v>usefulverse.com</x:v>
      </x:c>
      <x:c r="D243" s="18" t="str">
        <x:v>https://usefulverse.com/tools/due-date-calculator/</x:v>
      </x:c>
      <x:c r="E243" s="22" t="n">
        <x:v>36</x:v>
      </x:c>
      <x:c r="F243" s="18" t="str">
        <x:v>Sí</x:v>
      </x:c>
      <x:c r="G243" s="18" t="str">
        <x:v>Estimate a pregnancy due date from a date and cycle-length assumption.</x:v>
      </x:c>
      <x:c r="H243" s="18" t="str">
        <x:v>principal · commit 8dfcc147a3</x:v>
      </x:c>
    </x:row>
    <x:row r="244" ht="48" customHeight="1">
      <x:c r="A244" s="18" t="str">
        <x:v>cycle-calendar-estimator</x:v>
      </x:c>
      <x:c r="B244" s="18" t="str">
        <x:v>Cycle Calendar Estimator</x:v>
      </x:c>
      <x:c r="C244" s="18" t="str">
        <x:v>usefulverse.com</x:v>
      </x:c>
      <x:c r="D244" s="18" t="str">
        <x:v>https://usefulverse.com/tools/cycle-calendar-estimator/</x:v>
      </x:c>
      <x:c r="E244" s="22" t="n">
        <x:v>36</x:v>
      </x:c>
      <x:c r="F244" s="18" t="str">
        <x:v>Sí</x:v>
      </x:c>
      <x:c r="G244" s="18" t="str">
        <x:v>Estimate a calendar from a period start date and average cycle length without storing it.</x:v>
      </x:c>
      <x:c r="H244" s="18" t="str">
        <x:v>principal · commit 8dfcc147a3</x:v>
      </x:c>
    </x:row>
    <x:row r="245" ht="48" customHeight="1">
      <x:c r="A245" s="18" t="str">
        <x:v>ascii-art-generator</x:v>
      </x:c>
      <x:c r="B245" s="18" t="str">
        <x:v>ASCII Art Generator</x:v>
      </x:c>
      <x:c r="C245" s="18" t="str">
        <x:v>usefulverse.com</x:v>
      </x:c>
      <x:c r="D245" s="18" t="str">
        <x:v>https://usefulverse.com/tools/ascii-art-generator/</x:v>
      </x:c>
      <x:c r="E245" s="22" t="n">
        <x:v>36</x:v>
      </x:c>
      <x:c r="F245" s="18" t="str">
        <x:v>Sí</x:v>
      </x:c>
      <x:c r="G245" s="18" t="str">
        <x:v>Convert short text or a small image to a plain-text ASCII-style output locally.</x:v>
      </x:c>
      <x:c r="H245" s="18" t="str">
        <x:v>principal · commit 8dfcc147a3</x:v>
      </x:c>
    </x:row>
    <x:row r="246" ht="48" customHeight="1">
      <x:c r="A246" s="18" t="str">
        <x:v>guitar-tuner</x:v>
      </x:c>
      <x:c r="B246" s="18" t="str">
        <x:v>Guitar Tuner</x:v>
      </x:c>
      <x:c r="C246" s="18" t="str">
        <x:v>usefulverse.com</x:v>
      </x:c>
      <x:c r="D246" s="18" t="str">
        <x:v>https://usefulverse.com/tools/guitar-tuner/</x:v>
      </x:c>
      <x:c r="E246" s="22" t="n">
        <x:v>36</x:v>
      </x:c>
      <x:c r="F246" s="18" t="str">
        <x:v>Sí</x:v>
      </x:c>
      <x:c r="G246" s="18" t="str">
        <x:v>Listen to a microphone locally and show the nearest note and frequency estimate.</x:v>
      </x:c>
      <x:c r="H246" s="18" t="str">
        <x:v>principal · commit 8dfcc147a3</x:v>
      </x:c>
    </x:row>
    <x:row r="247" ht="48" customHeight="1">
      <x:c r="A247" s="18" t="str">
        <x:v>virtual-piano</x:v>
      </x:c>
      <x:c r="B247" s="18" t="str">
        <x:v>Virtual Piano</x:v>
      </x:c>
      <x:c r="C247" s="18" t="str">
        <x:v>usefulverse.com</x:v>
      </x:c>
      <x:c r="D247" s="18" t="str">
        <x:v>https://usefulverse.com/tools/virtual-piano/</x:v>
      </x:c>
      <x:c r="E247" s="22" t="n">
        <x:v>36</x:v>
      </x:c>
      <x:c r="F247" s="18" t="str">
        <x:v>Sí</x:v>
      </x:c>
      <x:c r="G247" s="18" t="str">
        <x:v>Play a small piano keyboard with mouse, touch or computer keys using browser audio.</x:v>
      </x:c>
      <x:c r="H247" s="18" t="str">
        <x:v>principal · commit 8dfcc147a3</x:v>
      </x:c>
    </x:row>
    <x:row r="248" ht="48" customHeight="1">
      <x:c r="A248" s="18" t="str">
        <x:v>guitar-chord-finder</x:v>
      </x:c>
      <x:c r="B248" s="18" t="str">
        <x:v>Guitar Chord Finder</x:v>
      </x:c>
      <x:c r="C248" s="18" t="str">
        <x:v>usefulverse.com</x:v>
      </x:c>
      <x:c r="D248" s="18" t="str">
        <x:v>https://usefulverse.com/tools/guitar-chord-finder/</x:v>
      </x:c>
      <x:c r="E248" s="22" t="n">
        <x:v>36</x:v>
      </x:c>
      <x:c r="F248" s="18" t="str">
        <x:v>Sí</x:v>
      </x:c>
      <x:c r="G248" s="18" t="str">
        <x:v>Look up common guitar chord shapes and notes in standard tuning.</x:v>
      </x:c>
      <x:c r="H248" s="18" t="str">
        <x:v>principal · commit 8dfcc147a3</x:v>
      </x:c>
    </x:row>
    <x:row r="249" ht="48" customHeight="1">
      <x:c r="A249" s="18" t="str">
        <x:v>noise-generator</x:v>
      </x:c>
      <x:c r="B249" s="18" t="str">
        <x:v>White, Pink and Brown Noise Generator</x:v>
      </x:c>
      <x:c r="C249" s="18" t="str">
        <x:v>usefulverse.com</x:v>
      </x:c>
      <x:c r="D249" s="18" t="str">
        <x:v>https://usefulverse.com/tools/noise-generator/</x:v>
      </x:c>
      <x:c r="E249" s="22" t="n">
        <x:v>36</x:v>
      </x:c>
      <x:c r="F249" s="18" t="str">
        <x:v>Sí</x:v>
      </x:c>
      <x:c r="G249" s="18" t="str">
        <x:v>Generate white, pink or brown noise locally with smooth volume and an optional auto-stop timer.</x:v>
      </x:c>
      <x:c r="H249" s="18" t="str">
        <x:v>principal · commit 8dfcc147a3</x:v>
      </x:c>
    </x:row>
    <x:row r="250" ht="48" customHeight="1">
      <x:c r="A250" s="18" t="str">
        <x:v>webcam-tester</x:v>
      </x:c>
      <x:c r="B250" s="18" t="str">
        <x:v>Webcam Tester</x:v>
      </x:c>
      <x:c r="C250" s="18" t="str">
        <x:v>usefulverse.com</x:v>
      </x:c>
      <x:c r="D250" s="18" t="str">
        <x:v>https://usefulverse.com/tools/webcam-tester/</x:v>
      </x:c>
      <x:c r="E250" s="22" t="n">
        <x:v>36</x:v>
      </x:c>
      <x:c r="F250" s="18" t="str">
        <x:v>Sí</x:v>
      </x:c>
      <x:c r="G250" s="18" t="str">
        <x:v>Preview a camera stream and inspect its reported dimensions in this browser.</x:v>
      </x:c>
      <x:c r="H250" s="18" t="str">
        <x:v>principal · commit 8dfcc147a3</x:v>
      </x:c>
    </x:row>
    <x:row r="251" ht="48" customHeight="1">
      <x:c r="A251" s="18" t="str">
        <x:v>speaker-tester</x:v>
      </x:c>
      <x:c r="B251" s="18" t="str">
        <x:v>Speaker and Channel Tester</x:v>
      </x:c>
      <x:c r="C251" s="18" t="str">
        <x:v>usefulverse.com</x:v>
      </x:c>
      <x:c r="D251" s="18" t="str">
        <x:v>https://usefulverse.com/tools/speaker-tester/</x:v>
      </x:c>
      <x:c r="E251" s="22" t="n">
        <x:v>36</x:v>
      </x:c>
      <x:c r="F251" s="18" t="str">
        <x:v>Sí</x:v>
      </x:c>
      <x:c r="G251" s="18" t="str">
        <x:v>Play a short low-volume tone to check basic audio output and left/right balance.</x:v>
      </x:c>
      <x:c r="H251" s="18" t="str">
        <x:v>principal · commit 8dfcc147a3</x:v>
      </x:c>
    </x:row>
    <x:row r="252" ht="48" customHeight="1">
      <x:c r="A252" s="18" t="str">
        <x:v>packing-list-maker</x:v>
      </x:c>
      <x:c r="B252" s="18" t="str">
        <x:v>Free Packing List Maker</x:v>
      </x:c>
      <x:c r="C252" s="18" t="str">
        <x:v>usefulverse.com</x:v>
      </x:c>
      <x:c r="D252" s="18" t="str">
        <x:v>https://usefulverse.com/tools/packing-list-maker/</x:v>
      </x:c>
      <x:c r="E252" s="22" t="n">
        <x:v>36</x:v>
      </x:c>
      <x:c r="F252" s="18" t="str">
        <x:v>Sí</x:v>
      </x:c>
      <x:c r="G252" s="18" t="str">
        <x:v>Build a reusable packing checklist by trip, category and item, then mark what is packed and export a copy.</x:v>
      </x:c>
      <x:c r="H252" s="18" t="str">
        <x:v>principal · commit 8dfcc147a3</x:v>
      </x:c>
    </x:row>
    <x:row r="253" ht="48" customHeight="1">
      <x:c r="A253" s="18" t="str">
        <x:v>decision-matrix</x:v>
      </x:c>
      <x:c r="B253" s="18" t="str">
        <x:v>Decision Matrix Calculator</x:v>
      </x:c>
      <x:c r="C253" s="18" t="str">
        <x:v>usefulverse.com</x:v>
      </x:c>
      <x:c r="D253" s="18" t="str">
        <x:v>https://usefulverse.com/tools/decision-matrix/</x:v>
      </x:c>
      <x:c r="E253" s="22" t="n">
        <x:v>36</x:v>
      </x:c>
      <x:c r="F253" s="18" t="str">
        <x:v>Sí</x:v>
      </x:c>
      <x:c r="G253" s="18" t="str">
        <x:v>Compare options with weighted criteria and transparent scores in a private, local decision matrix.</x:v>
      </x:c>
      <x:c r="H253" s="18" t="str">
        <x:v>principal · commit 8dfcc147a3</x:v>
      </x:c>
    </x:row>
    <x:row r="254" ht="48" customHeight="1">
      <x:c r="A254" s="18" t="str">
        <x:v>workout-planner</x:v>
      </x:c>
      <x:c r="B254" s="18" t="str">
        <x:v>Workout Planner</x:v>
      </x:c>
      <x:c r="C254" s="18" t="str">
        <x:v>usefulverse.com</x:v>
      </x:c>
      <x:c r="D254" s="18" t="str">
        <x:v>https://usefulverse.com/tools/workout-planner/</x:v>
      </x:c>
      <x:c r="E254" s="22" t="n">
        <x:v>36</x:v>
      </x:c>
      <x:c r="F254" s="18" t="str">
        <x:v>Sí</x:v>
      </x:c>
      <x:c r="G254" s="18" t="str">
        <x:v>Organize your own exercises, sets, reps and rest periods into a printable workout plan.</x:v>
      </x:c>
      <x:c r="H254" s="18" t="str">
        <x:v>principal · commit 8dfcc147a3</x:v>
      </x:c>
    </x:row>
    <x:row r="255" ht="48" customHeight="1">
      <x:c r="A255" s="18" t="str">
        <x:v>quiz-maker</x:v>
      </x:c>
      <x:c r="B255" s="18" t="str">
        <x:v>Free Quiz Maker</x:v>
      </x:c>
      <x:c r="C255" s="18" t="str">
        <x:v>usefulverse.com</x:v>
      </x:c>
      <x:c r="D255" s="18" t="str">
        <x:v>https://usefulverse.com/tools/quiz-maker/</x:v>
      </x:c>
      <x:c r="E255" s="22" t="n">
        <x:v>36</x:v>
      </x:c>
      <x:c r="F255" s="18" t="str">
        <x:v>Sí</x:v>
      </x:c>
      <x:c r="G255" s="18" t="str">
        <x:v>Create a multiple-choice quiz from your own questions, practice it in your browser and review your score.</x:v>
      </x:c>
      <x:c r="H255" s="18" t="str">
        <x:v>principal · commit 8dfcc147a3</x:v>
      </x:c>
    </x:row>
    <x:row r="256" ht="48" customHeight="1">
      <x:c r="A256" s="18" t="str">
        <x:v>memory-game</x:v>
      </x:c>
      <x:c r="B256" s="18" t="str">
        <x:v>Free Online Memory Matching Game</x:v>
      </x:c>
      <x:c r="C256" s="18" t="str">
        <x:v>usefulverse.com</x:v>
      </x:c>
      <x:c r="D256" s="18" t="str">
        <x:v>https://usefulverse.com/tools/memory-game/</x:v>
      </x:c>
      <x:c r="E256" s="22" t="n">
        <x:v>36</x:v>
      </x:c>
      <x:c r="F256" s="18" t="str">
        <x:v>Sí</x:v>
      </x:c>
      <x:c r="G256" s="18" t="str">
        <x:v>Play a quick card-matching memory game, choose a board size and try to find every pair in fewer moves.</x:v>
      </x:c>
      <x:c r="H256" s="18" t="str">
        <x:v>principal · commit 8dfcc147a3</x:v>
      </x:c>
    </x:row>
    <x:row r="257" ht="48" customHeight="1">
      <x:c r="A257" s="18" t="str">
        <x:v>kana-practice</x:v>
      </x:c>
      <x:c r="B257" s="18" t="str">
        <x:v>Free Hiragana and Katakana Practice</x:v>
      </x:c>
      <x:c r="C257" s="18" t="str">
        <x:v>usefulverse.com</x:v>
      </x:c>
      <x:c r="D257" s="18" t="str">
        <x:v>https://usefulverse.com/tools/kana-practice/</x:v>
      </x:c>
      <x:c r="E257" s="22" t="n">
        <x:v>36</x:v>
      </x:c>
      <x:c r="F257" s="18" t="str">
        <x:v>Sí</x:v>
      </x:c>
      <x:c r="G257" s="18" t="str">
        <x:v>Practice recognizing basic hiragana and katakana in short rounds with answers and a score, right in your browser.</x:v>
      </x:c>
      <x:c r="H257" s="18" t="str">
        <x:v>principal · commit 8dfcc147a3</x:v>
      </x:c>
    </x:row>
    <x:row r="258" ht="48" customHeight="1">
      <x:c r="A258" s="18" t="str">
        <x:v>abacus-practice</x:v>
      </x:c>
      <x:c r="B258" s="18" t="str">
        <x:v>Free Interactive Abacus Practice</x:v>
      </x:c>
      <x:c r="C258" s="18" t="str">
        <x:v>usefulverse.com</x:v>
      </x:c>
      <x:c r="D258" s="18" t="str">
        <x:v>https://usefulverse.com/tools/abacus-practice/</x:v>
      </x:c>
      <x:c r="E258" s="22" t="n">
        <x:v>36</x:v>
      </x:c>
      <x:c r="F258" s="18" t="str">
        <x:v>Sí</x:v>
      </x:c>
      <x:c r="G258" s="18" t="str">
        <x:v>Practice place value and addition with a five-rod interactive abacus. Move each digit with simple controls and check the sum locally.</x:v>
      </x:c>
      <x:c r="H258" s="18" t="str">
        <x:v>principal · commit 8dfcc147a3</x:v>
      </x:c>
    </x:row>
    <x:row r="259" ht="48" customHeight="1">
      <x:c r="A259" s="18" t="str">
        <x:v>spelling-practice</x:v>
      </x:c>
      <x:c r="B259" s="18" t="str">
        <x:v>Free Spelling Practice with Your Own Words</x:v>
      </x:c>
      <x:c r="C259" s="18" t="str">
        <x:v>usefulverse.com</x:v>
      </x:c>
      <x:c r="D259" s="18" t="str">
        <x:v>https://usefulverse.com/tools/spelling-practice/</x:v>
      </x:c>
      <x:c r="E259" s="22" t="n">
        <x:v>36</x:v>
      </x:c>
      <x:c r="F259" s="18" t="str">
        <x:v>Sí</x:v>
      </x:c>
      <x:c r="G259" s="18" t="str">
        <x:v>Create a spelling practice list from your own words and hints, answer one at a time, and review missed words in your browser.</x:v>
      </x:c>
      <x:c r="H259" s="18" t="str">
        <x:v>principal · commit 8dfcc147a3</x:v>
      </x:c>
    </x:row>
    <x:row r="260" ht="48" customHeight="1">
      <x:c r="A260" s="18" t="str">
        <x:v>hangul-practice</x:v>
      </x:c>
      <x:c r="B260" s="18" t="str">
        <x:v>Free Hangul Practice for Korean Letters</x:v>
      </x:c>
      <x:c r="C260" s="18" t="str">
        <x:v>usefulverse.com</x:v>
      </x:c>
      <x:c r="D260" s="18" t="str">
        <x:v>https://usefulverse.com/tools/hangul-practice/</x:v>
      </x:c>
      <x:c r="E260" s="22" t="n">
        <x:v>36</x:v>
      </x:c>
      <x:c r="F260" s="18" t="str">
        <x:v>Sí</x:v>
      </x:c>
      <x:c r="G260" s="18" t="str">
        <x:v>Practice recognizing basic Korean Hangul consonants and vowels in short browser-based rounds.</x:v>
      </x:c>
      <x:c r="H260" s="18" t="str">
        <x:v>principal · commit 8dfcc147a3</x:v>
      </x:c>
    </x:row>
    <x:row r="261" ht="48" customHeight="1">
      <x:c r="A261" s="18" t="str">
        <x:v>2048-game</x:v>
      </x:c>
      <x:c r="B261" s="18" t="str">
        <x:v>Free 2048 Number Merge Puzzle</x:v>
      </x:c>
      <x:c r="C261" s="18" t="str">
        <x:v>usefulverse.com</x:v>
      </x:c>
      <x:c r="D261" s="18" t="str">
        <x:v>https://usefulverse.com/tools/2048-game/</x:v>
      </x:c>
      <x:c r="E261" s="22" t="n">
        <x:v>36</x:v>
      </x:c>
      <x:c r="F261" s="18" t="str">
        <x:v>Sí</x:v>
      </x:c>
      <x:c r="G261" s="18" t="str">
        <x:v>Play a local number-merging puzzle: slide matching tiles, plan merges and try to reach 2048.</x:v>
      </x:c>
      <x:c r="H261" s="18" t="str">
        <x:v>principal · commit 8dfcc147a3</x:v>
      </x:c>
    </x:row>
    <x:row r="262" ht="48" customHeight="1">
      <x:c r="A262" s="18" t="str">
        <x:v>sudoku</x:v>
      </x:c>
      <x:c r="B262" s="18" t="str">
        <x:v>Free Sudoku Online — Unique Puzzles</x:v>
      </x:c>
      <x:c r="C262" s="18" t="str">
        <x:v>usefulverse.com</x:v>
      </x:c>
      <x:c r="D262" s="18" t="str">
        <x:v>https://usefulverse.com/tools/sudoku/</x:v>
      </x:c>
      <x:c r="E262" s="22" t="n">
        <x:v>36</x:v>
      </x:c>
      <x:c r="F262" s="18" t="str">
        <x:v>Sí</x:v>
      </x:c>
      <x:c r="G262" s="18" t="str">
        <x:v>Play a free Sudoku puzzle in your browser. Choose a difficulty, add notes, check your answers or reveal a hint.</x:v>
      </x:c>
      <x:c r="H262" s="18" t="str">
        <x:v>principal · commit 8dfcc147a3</x:v>
      </x:c>
    </x:row>
    <x:row r="263" ht="48" customHeight="1">
      <x:c r="A263" s="18" t="str">
        <x:v>tic-tac-toe</x:v>
      </x:c>
      <x:c r="B263" s="18" t="str">
        <x:v>Free Tic-Tac-Toe Online — Play vs Computer</x:v>
      </x:c>
      <x:c r="C263" s="18" t="str">
        <x:v>usefulverse.com</x:v>
      </x:c>
      <x:c r="D263" s="18" t="str">
        <x:v>https://usefulverse.com/tools/tic-tac-toe/</x:v>
      </x:c>
      <x:c r="E263" s="22" t="n">
        <x:v>36</x:v>
      </x:c>
      <x:c r="F263" s="18" t="str">
        <x:v>Sí</x:v>
      </x:c>
      <x:c r="G263" s="18" t="str">
        <x:v>Play tic-tac-toe online against an unbeatable local computer or another person on the same device.</x:v>
      </x:c>
      <x:c r="H263" s="18" t="str">
        <x:v>principal · commit 8dfcc147a3</x:v>
      </x:c>
    </x:row>
    <x:row r="264" ht="48" customHeight="1">
      <x:c r="A264" s="18" t="str">
        <x:v>chess-game</x:v>
      </x:c>
      <x:c r="B264" s="18" t="str">
        <x:v>Free Online Chess — Legal Moves &amp; PGN</x:v>
      </x:c>
      <x:c r="C264" s="18" t="str">
        <x:v>usefulverse.com</x:v>
      </x:c>
      <x:c r="D264" s="18" t="str">
        <x:v>https://usefulverse.com/tools/chess-game/</x:v>
      </x:c>
      <x:c r="E264" s="22" t="n">
        <x:v>36</x:v>
      </x:c>
      <x:c r="F264" s="18" t="str">
        <x:v>Sí</x:v>
      </x:c>
      <x:c r="G264" s="18" t="str">
        <x:v>Play a two-player chess game on one device with legal moves, castling, en passant, promotion, undo and PGN save or download.</x:v>
      </x:c>
      <x:c r="H264" s="18" t="str">
        <x:v>principal · commit 8dfcc147a3</x:v>
      </x:c>
    </x:row>
    <x:row r="265" ht="48" customHeight="1">
      <x:c r="A265" s="18" t="str">
        <x:v>solitaire</x:v>
      </x:c>
      <x:c r="B265" s="18" t="str">
        <x:v>Free Online Solitaire — Klondike Card Game</x:v>
      </x:c>
      <x:c r="C265" s="18" t="str">
        <x:v>usefulverse.com</x:v>
      </x:c>
      <x:c r="D265" s="18" t="str">
        <x:v>https://usefulverse.com/tools/solitaire/</x:v>
      </x:c>
      <x:c r="E265" s="22" t="n">
        <x:v>36</x:v>
      </x:c>
      <x:c r="F265" s="18" t="str">
        <x:v>Sí</x:v>
      </x:c>
      <x:c r="G265" s="18" t="str">
        <x:v>Play Klondike solitaire in your browser. Move cards by suit and rank, draw one or three cards, and undo moves locally.</x:v>
      </x:c>
      <x:c r="H265" s="18" t="str">
        <x:v>principal · commit 8dfcc147a3</x:v>
      </x:c>
    </x:row>
    <x:row r="266" ht="48" customHeight="1">
      <x:c r="A266" s="18" t="str">
        <x:v>minesweeper</x:v>
      </x:c>
      <x:c r="B266" s="18" t="str">
        <x:v>Free Online Minesweeper — Safe First Click</x:v>
      </x:c>
      <x:c r="C266" s="18" t="str">
        <x:v>usefulverse.com</x:v>
      </x:c>
      <x:c r="D266" s="18" t="str">
        <x:v>https://usefulverse.com/tools/minesweeper/</x:v>
      </x:c>
      <x:c r="E266" s="22" t="n">
        <x:v>36</x:v>
      </x:c>
      <x:c r="F266" s="18" t="str">
        <x:v>Sí</x:v>
      </x:c>
      <x:c r="G266" s="18" t="str">
        <x:v>Play Minesweeper in your browser with a safe first click, three board sizes, flags, a timer and no account.</x:v>
      </x:c>
      <x:c r="H266" s="18" t="str">
        <x:v>principal · commit 8dfcc147a3</x:v>
      </x:c>
    </x:row>
    <x:row r="267" ht="48" customHeight="1">
      <x:c r="A267" s="18" t="str">
        <x:v>nonogram</x:v>
      </x:c>
      <x:c r="B267" s="18" t="str">
        <x:v>Free Nonogram Puzzle — Unique Logic Picross</x:v>
      </x:c>
      <x:c r="C267" s="18" t="str">
        <x:v>usefulverse.com</x:v>
      </x:c>
      <x:c r="D267" s="18" t="str">
        <x:v>https://usefulverse.com/tools/nonogram/</x:v>
      </x:c>
      <x:c r="E267" s="22" t="n">
        <x:v>36</x:v>
      </x:c>
      <x:c r="F267" s="18" t="str">
        <x:v>Sí</x:v>
      </x:c>
      <x:c r="G267" s="18" t="str">
        <x:v>Solve a free nonogram puzzle in your browser. Use row and column clues to reveal a unique 5×5 picture logic grid.</x:v>
      </x:c>
      <x:c r="H267" s="18" t="str">
        <x:v>principal · commit 8dfcc147a3</x:v>
      </x:c>
    </x:row>
    <x:row r="268" ht="48" customHeight="1">
      <x:c r="A268" s="18" t="str">
        <x:v>sliding-puzzle</x:v>
      </x:c>
      <x:c r="B268" s="18" t="str">
        <x:v>Free Sliding Puzzle — 3×3, 4×4 and 5×5</x:v>
      </x:c>
      <x:c r="C268" s="18" t="str">
        <x:v>usefulverse.com</x:v>
      </x:c>
      <x:c r="D268" s="18" t="str">
        <x:v>https://usefulverse.com/tools/sliding-puzzle/</x:v>
      </x:c>
      <x:c r="E268" s="22" t="n">
        <x:v>36</x:v>
      </x:c>
      <x:c r="F268" s="18" t="str">
        <x:v>Sí</x:v>
      </x:c>
      <x:c r="G268" s="18" t="str">
        <x:v>Play a number sliding puzzle in your browser. Choose 3×3, 4×4 or 5×5, move tiles and solve the board.</x:v>
      </x:c>
      <x:c r="H268" s="18" t="str">
        <x:v>principal · commit 8dfcc147a3</x:v>
      </x:c>
    </x:row>
    <x:row r="269" ht="48" customHeight="1">
      <x:c r="A269" s="18" t="str">
        <x:v>screen-ruler</x:v>
      </x:c>
      <x:c r="B269" s="18" t="str">
        <x:v>Online Screen Ruler — Measure in Pixels</x:v>
      </x:c>
      <x:c r="C269" s="18" t="str">
        <x:v>usefulverse.com</x:v>
      </x:c>
      <x:c r="D269" s="18" t="str">
        <x:v>https://usefulverse.com/tools/screen-ruler/</x:v>
      </x:c>
      <x:c r="E269" s="22" t="n">
        <x:v>36</x:v>
      </x:c>
      <x:c r="F269" s="18" t="str">
        <x:v>Sí</x:v>
      </x:c>
      <x:c r="G269" s="18" t="str">
        <x:v>Measure a length in CSS pixels with an adjustable on-screen ruler. Optional calibration estimates physical units.</x:v>
      </x:c>
      <x:c r="H269" s="18" t="str">
        <x:v>principal · commit 8dfcc147a3</x:v>
      </x:c>
    </x:row>
    <x:row r="270" ht="48" customHeight="1">
      <x:c r="A270" s="18" t="str">
        <x:v>protractor</x:v>
      </x:c>
      <x:c r="B270" s="18" t="str">
        <x:v>Online Protractor — Measure an Angle</x:v>
      </x:c>
      <x:c r="C270" s="18" t="str">
        <x:v>usefulverse.com</x:v>
      </x:c>
      <x:c r="D270" s="18" t="str">
        <x:v>https://usefulverse.com/tools/protractor/</x:v>
      </x:c>
      <x:c r="E270" s="22" t="n">
        <x:v>36</x:v>
      </x:c>
      <x:c r="F270" s="18" t="str">
        <x:v>Sí</x:v>
      </x:c>
      <x:c r="G270" s="18" t="str">
        <x:v>Set two rays on a digital 180-degree protractor and read their angle in degrees.</x:v>
      </x:c>
      <x:c r="H270" s="18" t="str">
        <x:v>principal · commit 8dfcc147a3</x:v>
      </x:c>
    </x:row>
    <x:row r="271" ht="48" customHeight="1">
      <x:c r="A271" s="18" t="str">
        <x:v>printable-label-maker</x:v>
      </x:c>
      <x:c r="B271" s="18" t="str">
        <x:v>Printable Label Maker — Free A4 and Letter Sheets</x:v>
      </x:c>
      <x:c r="C271" s="18" t="str">
        <x:v>usefulverse.com</x:v>
      </x:c>
      <x:c r="D271" s="18" t="str">
        <x:v>https://usefulverse.com/tools/printable-label-maker/</x:v>
      </x:c>
      <x:c r="E271" s="22" t="n">
        <x:v>36</x:v>
      </x:c>
      <x:c r="F271" s="18" t="str">
        <x:v>Sí</x:v>
      </x:c>
      <x:c r="G271" s="18" t="str">
        <x:v>Arrange up to 30 lines of text on a simple printable label sheet and download a local SVG.</x:v>
      </x:c>
      <x:c r="H271" s="18" t="str">
        <x:v>principal · commit 8dfcc147a3</x:v>
      </x:c>
    </x:row>
    <x:row r="272" ht="48" customHeight="1">
      <x:c r="A272" s="18" t="str">
        <x:v>poster-maker</x:v>
      </x:c>
      <x:c r="B272" s="18" t="str">
        <x:v>Free Poster Maker — Create a Printable Poster</x:v>
      </x:c>
      <x:c r="C272" s="18" t="str">
        <x:v>usefulverse.com</x:v>
      </x:c>
      <x:c r="D272" s="18" t="str">
        <x:v>https://usefulverse.com/tools/poster-maker/</x:v>
      </x:c>
      <x:c r="E272" s="22" t="n">
        <x:v>36</x:v>
      </x:c>
      <x:c r="F272" s="18" t="str">
        <x:v>Sí</x:v>
      </x:c>
      <x:c r="G272" s="18" t="str">
        <x:v>Create a simple text poster with a title, subtitle, message and color theme, then download SVG.</x:v>
      </x:c>
      <x:c r="H272" s="18" t="str">
        <x:v>principal · commit 8dfcc147a3</x:v>
      </x:c>
    </x:row>
    <x:row r="273" ht="48" customHeight="1">
      <x:c r="A273" s="18" t="str">
        <x:v>certificate-maker</x:v>
      </x:c>
      <x:c r="B273" s="18" t="str">
        <x:v>Free Certificate Maker — Printable Award Template</x:v>
      </x:c>
      <x:c r="C273" s="18" t="str">
        <x:v>usefulverse.com</x:v>
      </x:c>
      <x:c r="D273" s="18" t="str">
        <x:v>https://usefulverse.com/tools/certificate-maker/</x:v>
      </x:c>
      <x:c r="E273" s="22" t="n">
        <x:v>36</x:v>
      </x:c>
      <x:c r="F273" s="18" t="str">
        <x:v>Sí</x:v>
      </x:c>
      <x:c r="G273" s="18" t="str">
        <x:v>Create a decorative certificate with a recipient, award, issuer and date, then download SVG.</x:v>
      </x:c>
      <x:c r="H273" s="18" t="str">
        <x:v>principal · commit 8dfcc147a3</x:v>
      </x:c>
    </x:row>
    <x:row r="274" ht="48" customHeight="1">
      <x:c r="A274" s="18" t="str">
        <x:v>invitation-maker</x:v>
      </x:c>
      <x:c r="B274" s="18" t="str">
        <x:v>Free Invitation Maker — Printable Event Invitation</x:v>
      </x:c>
      <x:c r="C274" s="18" t="str">
        <x:v>usefulverse.com</x:v>
      </x:c>
      <x:c r="D274" s="18" t="str">
        <x:v>https://usefulverse.com/tools/invitation-maker/</x:v>
      </x:c>
      <x:c r="E274" s="22" t="n">
        <x:v>36</x:v>
      </x:c>
      <x:c r="F274" s="18" t="str">
        <x:v>Sí</x:v>
      </x:c>
      <x:c r="G274" s="18" t="str">
        <x:v>Design a simple event invitation with date, time, place and RSVP details and download it as SVG.</x:v>
      </x:c>
      <x:c r="H274" s="18" t="str">
        <x:v>principal · commit 8dfcc147a3</x:v>
      </x:c>
    </x:row>
    <x:row r="275" ht="48" customHeight="1">
      <x:c r="A275" s="18" t="str">
        <x:v>audio-looper</x:v>
      </x:c>
      <x:c r="B275" s="18" t="str">
        <x:v>Free Audio Looper — Repeat a Clip and Export WAV</x:v>
      </x:c>
      <x:c r="C275" s="18" t="str">
        <x:v>usefulverse.com</x:v>
      </x:c>
      <x:c r="D275" s="18" t="str">
        <x:v>https://usefulverse.com/tools/audio-looper/</x:v>
      </x:c>
      <x:c r="E275" s="22" t="n">
        <x:v>36</x:v>
      </x:c>
      <x:c r="F275" s="18" t="str">
        <x:v>Sí</x:v>
      </x:c>
      <x:c r="G275" s="18" t="str">
        <x:v>Repeat a short audio selection locally for practice and export the repeated clip as WAV.</x:v>
      </x:c>
      <x:c r="H275" s="18" t="str">
        <x:v>principal · commit 8dfcc147a3</x:v>
      </x:c>
    </x:row>
    <x:row r="276" ht="48" customHeight="1">
      <x:c r="A276" s="18" t="str">
        <x:v>molecule-viewer</x:v>
      </x:c>
      <x:c r="B276" s="18" t="str">
        <x:v>Interactive Molecule Viewer — Explore 2D Structures</x:v>
      </x:c>
      <x:c r="C276" s="18" t="str">
        <x:v>usefulverse.com</x:v>
      </x:c>
      <x:c r="D276" s="18" t="str">
        <x:v>https://usefulverse.com/tools/molecule-viewer/</x:v>
      </x:c>
      <x:c r="E276" s="22" t="n">
        <x:v>36</x:v>
      </x:c>
      <x:c r="F276" s="18" t="str">
        <x:v>Sí</x:v>
      </x:c>
      <x:c r="G276" s="18" t="str">
        <x:v>Explore a small gallery of familiar molecules with labeled atoms, bonds and formulas.</x:v>
      </x:c>
      <x:c r="H276" s="18" t="str">
        <x:v>principal · commit 8dfcc147a3</x:v>
      </x:c>
    </x:row>
    <x:row r="277" ht="48" customHeight="1">
      <x:c r="A277" s="18" t="str">
        <x:v>photo-mosaic-maker</x:v>
      </x:c>
      <x:c r="B277" s="18" t="str">
        <x:v>Photo Mosaic Maker — Create a Pixel Mosaic Locally</x:v>
      </x:c>
      <x:c r="C277" s="18" t="str">
        <x:v>usefulverse.com</x:v>
      </x:c>
      <x:c r="D277" s="18" t="str">
        <x:v>https://usefulverse.com/tools/photo-mosaic-maker/</x:v>
      </x:c>
      <x:c r="E277" s="22" t="n">
        <x:v>36</x:v>
      </x:c>
      <x:c r="F277" s="18" t="str">
        <x:v>Sí</x:v>
      </x:c>
      <x:c r="G277" s="18" t="str">
        <x:v>Turn a local photo into a block-style mosaic image with adjustable tile size.</x:v>
      </x:c>
      <x:c r="H277" s="18" t="str">
        <x:v>principal · commit 8dfcc147a3</x:v>
      </x:c>
    </x:row>
    <x:row r="278" ht="48" customHeight="1">
      <x:c r="A278" s="18" t="str">
        <x:v>epub-reader</x:v>
      </x:c>
      <x:c r="B278" s="18" t="str">
        <x:v>Free EPUB Reader — Read a Book in Your Browser</x:v>
      </x:c>
      <x:c r="C278" s="18" t="str">
        <x:v>usefulverse.com</x:v>
      </x:c>
      <x:c r="D278" s="18" t="str">
        <x:v>https://usefulverse.com/tools/epub-reader/</x:v>
      </x:c>
      <x:c r="E278" s="22" t="n">
        <x:v>36</x:v>
      </x:c>
      <x:c r="F278" s="18" t="str">
        <x:v>Sí</x:v>
      </x:c>
      <x:c r="G278" s="18" t="str">
        <x:v>Open a text-based EPUB locally and browse its chapter text without uploading the book.</x:v>
      </x:c>
      <x:c r="H278" s="18" t="str">
        <x:v>principal · commit 8dfcc147a3</x:v>
      </x:c>
    </x:row>
    <x:row r="279" ht="48" customHeight="1">
      <x:c r="A279" s="18" t="str">
        <x:v>epub-metadata-editor</x:v>
      </x:c>
      <x:c r="B279" s="18" t="str">
        <x:v>EPUB Metadata Editor — Edit Book Details Locally</x:v>
      </x:c>
      <x:c r="C279" s="18" t="str">
        <x:v>usefulverse.com</x:v>
      </x:c>
      <x:c r="D279" s="18" t="str">
        <x:v>https://usefulverse.com/tools/epub-metadata-editor/</x:v>
      </x:c>
      <x:c r="E279" s="22" t="n">
        <x:v>36</x:v>
      </x:c>
      <x:c r="F279" s="18" t="str">
        <x:v>Sí</x:v>
      </x:c>
      <x:c r="G279" s="18" t="str">
        <x:v>Change an EPUB title, author and language metadata locally and create a separate EPUB copy.</x:v>
      </x:c>
      <x:c r="H279" s="18" t="str">
        <x:v>principal · commit 8dfcc147a3</x:v>
      </x:c>
    </x:row>
    <x:row r="280" ht="48" customHeight="1">
      <x:c r="A280" s="18" t="str">
        <x:v>backgammon</x:v>
      </x:c>
      <x:c r="B280" s="18" t="str">
        <x:v>Free Backgammon Game — Two Players on One Device</x:v>
      </x:c>
      <x:c r="C280" s="18" t="str">
        <x:v>usefulverse.com</x:v>
      </x:c>
      <x:c r="D280" s="18" t="str">
        <x:v>https://usefulverse.com/tools/backgammon/</x:v>
      </x:c>
      <x:c r="E280" s="22" t="n">
        <x:v>36</x:v>
      </x:c>
      <x:c r="F280" s="18" t="str">
        <x:v>Sí</x:v>
      </x:c>
      <x:c r="G280" s="18" t="str">
        <x:v>Play a local two-player backgammon game with dice, legal moves, hitting and bearing off.</x:v>
      </x:c>
      <x:c r="H280" s="18" t="str">
        <x:v>principal · commit 8dfcc147a3</x:v>
      </x:c>
    </x:row>
    <x:row r="281" ht="48" customHeight="1">
      <x:c r="A281" s="18" t="str">
        <x:v>tangram</x:v>
      </x:c>
      <x:c r="B281" s="18" t="str">
        <x:v>Tangram Puzzle — Arrange Seven Pieces</x:v>
      </x:c>
      <x:c r="C281" s="18" t="str">
        <x:v>usefulverse.com</x:v>
      </x:c>
      <x:c r="D281" s="18" t="str">
        <x:v>https://usefulverse.com/tools/tangram/</x:v>
      </x:c>
      <x:c r="E281" s="22" t="n">
        <x:v>36</x:v>
      </x:c>
      <x:c r="F281" s="18" t="str">
        <x:v>Sí</x:v>
      </x:c>
      <x:c r="G281" s="18" t="str">
        <x:v>Arrange seven geometric tangram pieces to match a simple silhouette using touch, mouse or keyboard controls.</x:v>
      </x:c>
      <x:c r="H281" s="18" t="str">
        <x:v>principal · commit 8dfcc147a3</x:v>
      </x:c>
    </x:row>
    <x:row r="282" ht="48" customHeight="1">
      <x:c r="A282" s="18" t="str">
        <x:v>jigsaw-puzzle</x:v>
      </x:c>
      <x:c r="B282" s="18" t="str">
        <x:v>Jigsaw Puzzle Maker — Turn a Photo into a Puzzle</x:v>
      </x:c>
      <x:c r="C282" s="18" t="str">
        <x:v>usefulverse.com</x:v>
      </x:c>
      <x:c r="D282" s="18" t="str">
        <x:v>https://usefulverse.com/tools/jigsaw-puzzle/</x:v>
      </x:c>
      <x:c r="E282" s="22" t="n">
        <x:v>36</x:v>
      </x:c>
      <x:c r="F282" s="18" t="str">
        <x:v>Sí</x:v>
      </x:c>
      <x:c r="G282" s="18" t="str">
        <x:v>Create and play a small jigsaw puzzle from a photo stored on your device.</x:v>
      </x:c>
      <x:c r="H282" s="18" t="str">
        <x:v>principal · commit 8dfcc147a3</x:v>
      </x:c>
    </x:row>
    <x:row r="283" ht="48" customHeight="1">
      <x:c r="A283" s="18" t="str">
        <x:v>music-score-editor</x:v>
      </x:c>
      <x:c r="B283" s="18" t="str">
        <x:v>Music Score Editor — Write and Export a Simple Score</x:v>
      </x:c>
      <x:c r="C283" s="18" t="str">
        <x:v>usefulverse.com</x:v>
      </x:c>
      <x:c r="D283" s="18" t="str">
        <x:v>https://usefulverse.com/tools/music-score-editor/</x:v>
      </x:c>
      <x:c r="E283" s="22" t="n">
        <x:v>36</x:v>
      </x:c>
      <x:c r="F283" s="18" t="str">
        <x:v>Sí</x:v>
      </x:c>
      <x:c r="G283" s="18" t="str">
        <x:v>Build a simple single-staff melody, hear it with browser audio and export a printable SVG score.</x:v>
      </x:c>
      <x:c r="H283" s="18" t="str">
        <x:v>principal · commit 8dfcc147a3</x:v>
      </x:c>
    </x:row>
    <x:row r="284" ht="48" customHeight="1">
      <x:c r="A284" s="18" t="str">
        <x:v>hearts-game</x:v>
      </x:c>
      <x:c r="B284" s="18" t="str">
        <x:v>hearts card game online</x:v>
      </x:c>
      <x:c r="C284" s="18" t="str">
        <x:v>tools.usefulverse.com</x:v>
      </x:c>
      <x:c r="D284" s="18" t="str">
        <x:v>https://tools.usefulverse.com/tools/hearts-game/</x:v>
      </x:c>
      <x:c r="E284" s="22" t="n">
        <x:v>36</x:v>
      </x:c>
      <x:c r="F284" s="18" t="str">
        <x:v>Sí</x:v>
      </x:c>
      <x:c r="G284" s="18" t="str">
        <x:v>play a complete four-player Hearts hand against three local computer players; pass three cards in a rotating left, right, across, and hold cycle; enforce following suit, the first-trick restriction, and the hearts-broken lead rule; score hearts and the queen of spades, including a shoot-the-moon hand</x:v>
      </x:c>
      <x:c r="H284" s="18" t="str">
        <x:v>growth600 · commit 8dfcc147a3</x:v>
      </x:c>
    </x:row>
    <x:row r="285" ht="48" customHeight="1">
      <x:c r="A285" s="18" t="str">
        <x:v>typing-practice</x:v>
      </x:c>
      <x:c r="B285" s="18" t="str">
        <x:v>typing practice</x:v>
      </x:c>
      <x:c r="C285" s="18" t="str">
        <x:v>tools.usefulverse.com</x:v>
      </x:c>
      <x:c r="D285" s="18" t="str">
        <x:v>https://tools.usefulverse.com/tools/typing-practice/</x:v>
      </x:c>
      <x:c r="E285" s="22" t="n">
        <x:v>36</x:v>
      </x:c>
      <x:c r="F285" s="18" t="str">
        <x:v>Sí</x:v>
      </x:c>
      <x:c r="G285" s="18" t="str">
        <x:v>progressive local lessons for home, top, bottom, and mixed QWERTY rows; practice text with live character-by-character feedback and correction; accuracy and completed-lesson feedback without a speed-test or WPM score; custom text practice with a bounded local input</x:v>
      </x:c>
      <x:c r="H285" s="18" t="str">
        <x:v>growth600 · commit 8dfcc147a3</x:v>
      </x:c>
    </x:row>
    <x:row r="286" ht="48" customHeight="1">
      <x:c r="A286" s="18" t="str">
        <x:v>sokoban</x:v>
      </x:c>
      <x:c r="B286" s="18" t="str">
        <x:v>sokoban online</x:v>
      </x:c>
      <x:c r="C286" s="18" t="str">
        <x:v>tools.usefulverse.com</x:v>
      </x:c>
      <x:c r="D286" s="18" t="str">
        <x:v>https://tools.usefulverse.com/tools/sokoban/</x:v>
      </x:c>
      <x:c r="E286" s="22" t="n">
        <x:v>36</x:v>
      </x:c>
      <x:c r="F286" s="18" t="str">
        <x:v>Sí</x:v>
      </x:c>
      <x:c r="G286" s="18" t="str">
        <x:v>play two original small box-pushing levels; move with arrow keys, WASD, or accessible on-screen controls; undo moves and pushes, restart a level, and switch levels; track moves and pushes locally and detect solved boards</x:v>
      </x:c>
      <x:c r="H286" s="18" t="str">
        <x:v>growth600 · commit 8dfcc147a3</x:v>
      </x:c>
    </x:row>
    <x:row r="287" ht="48" customHeight="1">
      <x:c r="A287" s="18" t="str">
        <x:v>maze-generator</x:v>
      </x:c>
      <x:c r="B287" s="18" t="str">
        <x:v>maze generator</x:v>
      </x:c>
      <x:c r="C287" s="18" t="str">
        <x:v>tools.usefulverse.com</x:v>
      </x:c>
      <x:c r="D287" s="18" t="str">
        <x:v>https://tools.usefulverse.com/tools/maze-generator/</x:v>
      </x:c>
      <x:c r="E287" s="22" t="n">
        <x:v>36</x:v>
      </x:c>
      <x:c r="F287" s="18" t="str">
        <x:v>Sí</x:v>
      </x:c>
      <x:c r="G287" s="18" t="str">
        <x:v>generate a fresh perfect maze from selectable bounded odd dimensions and a reproducible seed; calculate and reveal a valid route from entrance to exit; play locally with keyboard, touch controls, move count and restart; download a self-contained SVG maze</x:v>
      </x:c>
      <x:c r="H287" s="18" t="str">
        <x:v>growth600 · commit 8dfcc147a3</x:v>
      </x:c>
    </x:row>
    <x:row r="288" ht="48" customHeight="1">
      <x:c r="A288" s="18" t="str">
        <x:v>sleep-calculator</x:v>
      </x:c>
      <x:c r="B288" s="18" t="str">
        <x:v>sleep calculator</x:v>
      </x:c>
      <x:c r="C288" s="18" t="str">
        <x:v>tools.usefulverse.com</x:v>
      </x:c>
      <x:c r="D288" s="18" t="str">
        <x:v>https://tools.usefulverse.com/tools/sleep-calculator/</x:v>
      </x:c>
      <x:c r="E288" s="22" t="n">
        <x:v>36</x:v>
      </x:c>
      <x:c r="F288" s="18" t="str">
        <x:v>Sí</x:v>
      </x:c>
      <x:c r="G288" s="18" t="str">
        <x:v>calculate a suggested bedtime from a chosen wake-up time, sleep duration and time to fall asleep; calculate a suggested wake-up time from a chosen bedtime using the same transparent inputs; handle times that cross midnight and explain whether the result falls on the previous or next day; run as local time arithmetic without claiming exact sleep cycles or medical guidance</x:v>
      </x:c>
      <x:c r="H288" s="18" t="str">
        <x:v>growth600 · commit 8dfcc147a3</x:v>
      </x:c>
    </x:row>
    <x:row r="289" ht="48" customHeight="1">
      <x:c r="A289" s="18" t="str">
        <x:v>lean-body-mass-calculator</x:v>
      </x:c>
      <x:c r="B289" s="18" t="str">
        <x:v>lean body mass calculator</x:v>
      </x:c>
      <x:c r="C289" s="18" t="str">
        <x:v>tools.usefulverse.com</x:v>
      </x:c>
      <x:c r="D289" s="18" t="str">
        <x:v>https://tools.usefulverse.com/tools/lean-body-mass-calculator/</x:v>
      </x:c>
      <x:c r="E289" s="22" t="n">
        <x:v>36</x:v>
      </x:c>
      <x:c r="F289" s="18" t="str">
        <x:v>Sí</x:v>
      </x:c>
      <x:c r="G289" s="18" t="str">
        <x:v>calculate lean mass and fat mass directly from body weight and a user-known body-fat percentage; estimate lean mass with the published Boer height-and-weight equation when body-fat percentage is unknown; accept metric or imperial height and weight while presenting results in the selected system; show the exact method and equation used, with uncertainty and adult-only scope made clear</x:v>
      </x:c>
      <x:c r="H289" s="18" t="str">
        <x:v>growth600 · commit 8dfcc147a3</x:v>
      </x:c>
    </x:row>
    <x:row r="290" ht="48" customHeight="1">
      <x:c r="A290" s="18" t="str">
        <x:v>cycling-power-calculator</x:v>
      </x:c>
      <x:c r="B290" s="18" t="str">
        <x:v>cycling watts calculator</x:v>
      </x:c>
      <x:c r="C290" s="18" t="str">
        <x:v>tools.usefulverse.com</x:v>
      </x:c>
      <x:c r="D290" s="18" t="str">
        <x:v>https://tools.usefulverse.com/tools/cycling-power-calculator/</x:v>
      </x:c>
      <x:c r="E290" s="22" t="n">
        <x:v>36</x:v>
      </x:c>
      <x:c r="F290" s="18" t="str">
        <x:v>Sí</x:v>
      </x:c>
      <x:c r="G290" s="18" t="str">
        <x:v>estimate steady rider power from rider-and-bike mass, speed, gradient and wind; adjust rolling resistance, drag area, air density and drivetrain efficiency; show aerodynamic, rolling, climbing and wheel-power components plus watts per kilogram; accept metric and imperial inputs with equivalent physical results</x:v>
      </x:c>
      <x:c r="H290" s="18" t="str">
        <x:v>growth600 · commit 8dfcc147a3</x:v>
      </x:c>
    </x:row>
    <x:row r="291" ht="48" customHeight="1">
      <x:c r="A291" s="18" t="str">
        <x:v>inductor-calculator</x:v>
      </x:c>
      <x:c r="B291" s="18" t="str">
        <x:v>inductance calculator</x:v>
      </x:c>
      <x:c r="C291" s="18" t="str">
        <x:v>tools.usefulverse.com</x:v>
      </x:c>
      <x:c r="D291" s="18" t="str">
        <x:v>https://tools.usefulverse.com/tools/inductor-calculator/</x:v>
      </x:c>
      <x:c r="E291" s="22" t="n">
        <x:v>36</x:v>
      </x:c>
      <x:c r="F291" s="18" t="str">
        <x:v>Sí</x:v>
      </x:c>
      <x:c r="G291" s="18" t="str">
        <x:v>estimate single-layer air-core solenoid inductance from coil diameter, winding length and turns using Wheeler’s approximation; calculate toroid inductance from the exact core manufacturer AL factor and turns; estimate whole turns required for a user-entered inductance target; show the method and its practical limits without assuming a generic magnetic material</x:v>
      </x:c>
      <x:c r="H291" s="18" t="str">
        <x:v>growth600 · commit 8dfcc147a3</x:v>
      </x:c>
    </x:row>
    <x:row r="292" ht="48" customHeight="1">
      <x:c r="A292" s="18" t="str">
        <x:v>centripetal-force-calculator</x:v>
      </x:c>
      <x:c r="B292" s="18" t="str">
        <x:v>centripetal force calculator</x:v>
      </x:c>
      <x:c r="C292" s="18" t="str">
        <x:v>tools.usefulverse.com</x:v>
      </x:c>
      <x:c r="D292" s="18" t="str">
        <x:v>https://tools.usefulverse.com/tools/centripetal-force-calculator/</x:v>
      </x:c>
      <x:c r="E292" s="22" t="n">
        <x:v>36</x:v>
      </x:c>
      <x:c r="F292" s="18" t="str">
        <x:v>Sí</x:v>
      </x:c>
      <x:c r="G292" s="18" t="str">
        <x:v>calculate inward acceleration and force from mass, radius and linear speed; derive linear speed from radius and rotation frequency in hertz or rpm; convert the result to RPM, angular velocity, period and customary force units; show the speed-squared relationship and distinguish the ideal model from real engineering design</x:v>
      </x:c>
      <x:c r="H292" s="18" t="str">
        <x:v>growth600 · commit 8dfcc147a3</x:v>
      </x:c>
    </x:row>
    <x:row r="293" ht="48" customHeight="1">
      <x:c r="A293" s="18" t="str">
        <x:v>writing-tracker</x:v>
      </x:c>
      <x:c r="B293" s="18" t="str">
        <x:v>writing tracker</x:v>
      </x:c>
      <x:c r="C293" s="18" t="str">
        <x:v>tools.usefulverse.com</x:v>
      </x:c>
      <x:c r="D293" s="18" t="str">
        <x:v>https://tools.usefulverse.com/tools/writing-tracker/</x:v>
      </x:c>
      <x:c r="E293" s="22" t="n">
        <x:v>36</x:v>
      </x:c>
      <x:c r="F293" s="18" t="str">
        <x:v>Sí</x:v>
      </x:c>
      <x:c r="G293" s="18" t="str">
        <x:v>create separate writing projects with optional word-count goals; record dated writing sessions with words, minutes and an optional note; edit or delete a session by stable ID so updates never double-count words; review project totals, goal progress, writing days and current-day streak; save the log only in browser storage and export a spreadsheet-safe CSV backup</x:v>
      </x:c>
      <x:c r="H293" s="18" t="str">
        <x:v>growth600 · commit 8dfcc147a3</x:v>
      </x:c>
    </x:row>
    <x:row r="294" ht="48" customHeight="1">
      <x:c r="A294" s="18" t="str">
        <x:v>aes-encryption-tool</x:v>
      </x:c>
      <x:c r="B294" s="18" t="str">
        <x:v>aes decrypt online</x:v>
      </x:c>
      <x:c r="C294" s="18" t="str">
        <x:v>tools.usefulverse.com</x:v>
      </x:c>
      <x:c r="D294" s="18" t="str">
        <x:v>https://tools.usefulverse.com/tools/aes-encryption-tool/</x:v>
      </x:c>
      <x:c r="E294" s="22" t="n">
        <x:v>36</x:v>
      </x:c>
      <x:c r="F294" s="18" t="str">
        <x:v>Sí</x:v>
      </x:c>
      <x:c r="G294" s="18" t="str">
        <x:v>encrypt or decrypt UTF-8 text locally with AES-256-GCM and authenticated decryption; encrypt or decrypt bounded files in a versioned binary container with random salt and nonce; derive a key from a long passphrase with PBKDF2-HMAC-SHA-256 at a fixed documented iteration count; reject unsupported or altered containers and return no plaintext when authentication fails; avoid sending or saving the passphrase, plaintext, ciphertext or files to a server</x:v>
      </x:c>
      <x:c r="H294" s="18" t="str">
        <x:v>growth600 · commit 8dfcc147a3</x:v>
      </x:c>
    </x:row>
    <x:row r="295" ht="48" customHeight="1">
      <x:c r="A295" s="18" t="str">
        <x:v>jwt-encoder</x:v>
      </x:c>
      <x:c r="B295" s="18" t="str">
        <x:v>jwt encoder</x:v>
      </x:c>
      <x:c r="C295" s="18" t="str">
        <x:v>tools.usefulverse.com</x:v>
      </x:c>
      <x:c r="D295" s="18" t="str">
        <x:v>https://tools.usefulverse.com/tools/jwt-encoder/</x:v>
      </x:c>
      <x:c r="E295" s="22" t="n">
        <x:v>36</x:v>
      </x:c>
      <x:c r="F295" s="18" t="str">
        <x:v>Sí</x:v>
      </x:c>
      <x:c r="G295" s="18" t="str">
        <x:v>create a compact HS256 JWT from a JSON claims object and a locally entered secret; optionally add an exp NumericDate from a user-selected duration of up to 365 days; verify an HS256 signature locally and separately report exp/nbf timing without treating it as user authentication; reject malformed JSON, unsupported algorithms, altered tokens and oversized inputs; never upload or persist claims, tokens or secrets</x:v>
      </x:c>
      <x:c r="H295" s="18" t="str">
        <x:v>growth600 · commit 8dfcc147a3</x:v>
      </x:c>
    </x:row>
    <x:row r="296" ht="48" customHeight="1">
      <x:c r="A296" s="18" t="str">
        <x:v>rental-yield-calculator</x:v>
      </x:c>
      <x:c r="B296" s="18" t="str">
        <x:v>rental yield calculator</x:v>
      </x:c>
      <x:c r="C296" s="18" t="str">
        <x:v>tools.usefulverse.com</x:v>
      </x:c>
      <x:c r="D296" s="18" t="str">
        <x:v>https://tools.usefulverse.com/tools/rental-yield-calculator/</x:v>
      </x:c>
      <x:c r="E296" s="22" t="n">
        <x:v>36</x:v>
      </x:c>
      <x:c r="F296" s="18" t="str">
        <x:v>Sí</x:v>
      </x:c>
      <x:c r="G296" s="18" t="str">
        <x:v>calculate gross yield from annual rent and purchase price; estimate effective rent after an entered vacancy percentage; subtract annual property tax, maintenance, insurance, association fees and other expenses to estimate net operating income and net yield; show a monthly average and clearly separate gross rent from net income</x:v>
      </x:c>
      <x:c r="H296" s="18" t="str">
        <x:v>growth600 · commit 8dfcc147a3</x:v>
      </x:c>
    </x:row>
    <x:row r="297" ht="48" customHeight="1">
      <x:c r="A297" s="18" t="str">
        <x:v>rsa-key-generator</x:v>
      </x:c>
      <x:c r="B297" s="18" t="str">
        <x:v>rsa key generator</x:v>
      </x:c>
      <x:c r="C297" s="18" t="str">
        <x:v>tools.usefulverse.com</x:v>
      </x:c>
      <x:c r="D297" s="18" t="str">
        <x:v>https://tools.usefulverse.com/tools/rsa-key-generator/</x:v>
      </x:c>
      <x:c r="E297" s="22" t="n">
        <x:v>36</x:v>
      </x:c>
      <x:c r="F297" s="18" t="str">
        <x:v>Sí</x:v>
      </x:c>
      <x:c r="G297" s="18" t="str">
        <x:v>generate extractable RSA-OAEP key pairs at 2048 or 3072 bits with SHA-256 in browser Web Crypto; export public SPKI and private PKCS8 keys as PEM and show a SHA-256 fingerprint of the public DER key; encrypt and decrypt short UTF-8 messages locally using the selected public/private key; enforce OAEP plaintext byte limits of 190 bytes at 2048 bits and 318 bytes at 3072 bits; reject certificates, PKCS#1 PEM, oversized or malformed keys and ciphertext</x:v>
      </x:c>
      <x:c r="H297" s="18" t="str">
        <x:v>growth600 · commit 8dfcc147a3</x:v>
      </x:c>
    </x:row>
    <x:row r="298" ht="48" customHeight="1">
      <x:c r="A298" s="18" t="str">
        <x:v>log-analyzer</x:v>
      </x:c>
      <x:c r="B298" s="18" t="str">
        <x:v>log analyzer</x:v>
      </x:c>
      <x:c r="C298" s="18" t="str">
        <x:v>tools.usefulverse.com</x:v>
      </x:c>
      <x:c r="D298" s="18" t="str">
        <x:v>https://tools.usefulverse.com/tools/log-analyzer/</x:v>
      </x:c>
      <x:c r="E298" s="22" t="n">
        <x:v>36</x:v>
      </x:c>
      <x:c r="F298" s="18" t="str">
        <x:v>Sí</x:v>
      </x:c>
      <x:c r="G298" s="18" t="str">
        <x:v>parse only Apache/Nginx combined access-log lines with explicit format validation; report valid, invalid and unsupported non-empty line counts plus up to 20 invalid line numbers without echoing source text; aggregate request counts by HTTP status, method and UTC date, and reported response bytes; filter aggregates by 2xx–5xx status class and inclusive UTC date range; export only aggregate status/date counts to CSV without IPs, paths, query strings, user agents or referrers</x:v>
      </x:c>
      <x:c r="H298" s="18" t="str">
        <x:v>growth600 · commit 8dfcc147a3</x:v>
      </x:c>
    </x:row>
    <x:row r="299" ht="48" customHeight="1">
      <x:c r="A299" s="18" t="str">
        <x:v>customer-acquisition-cost-calculator</x:v>
      </x:c>
      <x:c r="B299" s="18" t="str">
        <x:v>customer acquisition cost calculator</x:v>
      </x:c>
      <x:c r="C299" s="18" t="str">
        <x:v>tools.usefulverse.com</x:v>
      </x:c>
      <x:c r="D299" s="18" t="str">
        <x:v>https://tools.usefulverse.com/tools/customer-acquisition-cost-calculator/</x:v>
      </x:c>
      <x:c r="E299" s="22" t="n">
        <x:v>36</x:v>
      </x:c>
      <x:c r="F299" s="18" t="str">
        <x:v>Sí</x:v>
      </x:c>
      <x:c r="G299" s="18" t="str">
        <x:v>sum marketing, sales, tools, agency and other acquisition expenses for a single period; calculate blended CAC from total acquisition spend and newly acquired customers; estimate gross-profit payback using monthly revenue per customer and entered gross margin; accept a user-selected supported ISO currency code without converting exchange rates; run locally and clearly distinguish an average CAC from channel attribution or customer lifetime value</x:v>
      </x:c>
      <x:c r="H299" s="18" t="str">
        <x:v>growth600 · commit 8dfcc147a3</x:v>
      </x:c>
    </x:row>
    <x:row r="300" ht="48" customHeight="1">
      <x:c r="A300" s="18" t="str">
        <x:v>btu-calculator</x:v>
      </x:c>
      <x:c r="B300" s="18" t="str">
        <x:v>btu calculator</x:v>
      </x:c>
      <x:c r="C300" s="18" t="str">
        <x:v>tools.usefulverse.com</x:v>
      </x:c>
      <x:c r="D300" s="18" t="str">
        <x:v>https://tools.usefulverse.com/tools/btu-calculator/</x:v>
      </x:c>
      <x:c r="E300" s="22" t="n">
        <x:v>36</x:v>
      </x:c>
      <x:c r="F300" s="18" t="str">
        <x:v>Sí</x:v>
      </x:c>
      <x:c r="G300" s="18" t="str">
        <x:v>estimate room cooling capacity from floor dimensions and ceiling height using the published ENERGY STAR room-air-conditioner bands; adjust the estimate with explicit user-selected insulation, sunlight, extra occupants and kitchen factors; show the base value, each adjustment, room area and approximate volume so assumptions are visible; handle zero floor area as zero load and flag dimensions outside the reference chart instead of extrapolating a false precision</x:v>
      </x:c>
      <x:c r="H300" s="18" t="str">
        <x:v>growth600 · commit 8dfcc147a3</x:v>
      </x:c>
    </x:row>
    <x:row r="301" ht="48" customHeight="1">
      <x:c r="A301" s="18" t="str">
        <x:v>solar-panel-calculator</x:v>
      </x:c>
      <x:c r="B301" s="18" t="str">
        <x:v>solar panel calculator</x:v>
      </x:c>
      <x:c r="C301" s="18" t="str">
        <x:v>tools.usefulverse.com</x:v>
      </x:c>
      <x:c r="D301" s="18" t="str">
        <x:v>https://tools.usefulverse.com/tools/solar-panel-calculator/</x:v>
      </x:c>
      <x:c r="E301" s="22" t="n">
        <x:v>36</x:v>
      </x:c>
      <x:c r="F301" s="18" t="str">
        <x:v>Sí</x:v>
      </x:c>
      <x:c r="G301" s="18" t="str">
        <x:v>estimate daily, monthly and yearly output from panel count or estimate the panel count for a manually entered daily energy target; apply user-entered peak sun hours and system loss percentage; estimate panel area when both panel dimensions are supplied; estimate annual bill offset from a manually entered energy tariff and simple payback from a manually entered installed cost</x:v>
      </x:c>
      <x:c r="H301" s="18" t="str">
        <x:v>growth600 · commit 8dfcc147a3</x:v>
      </x:c>
    </x:row>
    <x:row r="302" ht="48" customHeight="1">
      <x:c r="A302" s="18" t="str">
        <x:v>paver-calculator</x:v>
      </x:c>
      <x:c r="B302" s="18" t="str">
        <x:v>paver calculator</x:v>
      </x:c>
      <x:c r="C302" s="18" t="str">
        <x:v>tools.usefulverse.com</x:v>
      </x:c>
      <x:c r="D302" s="18" t="str">
        <x:v>https://tools.usefulverse.com/tools/paver-calculator/</x:v>
      </x:c>
      <x:c r="E302" s="22" t="n">
        <x:v>36</x:v>
      </x:c>
      <x:c r="F302" s="18" t="str">
        <x:v>Sí</x:v>
      </x:c>
      <x:c r="G302" s="18" t="str">
        <x:v>estimate pavers from a rectangular surface and a repeat module with one or more pieces; count complete modules in the entered orientation and apply optional extra pavers; calculate the edge perimeter for edging materials; estimate an optional base layer volume, allowance and user-entered material cost</x:v>
      </x:c>
      <x:c r="H302" s="18" t="str">
        <x:v>growth600 · commit 8dfcc147a3</x:v>
      </x:c>
    </x:row>
    <x:row r="303" ht="48" customHeight="1">
      <x:c r="A303" s="18" t="str">
        <x:v>image-color-picker</x:v>
      </x:c>
      <x:c r="B303" s="18" t="str">
        <x:v>image color picker</x:v>
      </x:c>
      <x:c r="C303" s="18" t="str">
        <x:v>tools.usefulverse.com</x:v>
      </x:c>
      <x:c r="D303" s="18" t="str">
        <x:v>https://tools.usefulverse.com/tools/image-color-picker/</x:v>
      </x:c>
      <x:c r="E303" s="22" t="n">
        <x:v>36</x:v>
      </x:c>
      <x:c r="F303" s="18" t="str">
        <x:v>Sí</x:v>
      </x:c>
      <x:c r="G303" s="18" t="str">
        <x:v>load a local raster image; sample exact source pixels by pointer or keyboard with optional zoom; show source coordinates, HEX, RGB and alpha; build, copy and remove colors from a local palette</x:v>
      </x:c>
      <x:c r="H303" s="18" t="str">
        <x:v>growth600 · commit 8dfcc147a3</x:v>
      </x:c>
    </x:row>
    <x:row r="304" ht="48" customHeight="1">
      <x:c r="A304" s="18" t="str">
        <x:v>image-region-redactor</x:v>
      </x:c>
      <x:c r="B304" s="18" t="str">
        <x:v>image pixelator</x:v>
      </x:c>
      <x:c r="C304" s="18" t="str">
        <x:v>tools.usefulverse.com</x:v>
      </x:c>
      <x:c r="D304" s="18" t="str">
        <x:v>https://tools.usefulverse.com/tools/image-region-redactor/</x:v>
      </x:c>
      <x:c r="E304" s="22" t="n">
        <x:v>36</x:v>
      </x:c>
      <x:c r="F304" s="18" t="str">
        <x:v>Sí</x:v>
      </x:c>
      <x:c r="G304" s="18" t="str">
        <x:v>load a local raster image; select multiple regions by pointer or exact pixel coordinates; pixelate, blur or permanently cover each selected region with black; preview edits and export a fresh PNG or JPEG locally</x:v>
      </x:c>
      <x:c r="H304" s="18" t="str">
        <x:v>growth600 · commit 8dfcc147a3</x:v>
      </x:c>
    </x:row>
    <x:row r="305" ht="48" customHeight="1">
      <x:c r="A305" s="18" t="str">
        <x:v>image-sharpener</x:v>
      </x:c>
      <x:c r="B305" s="18" t="str">
        <x:v>image sharpener</x:v>
      </x:c>
      <x:c r="C305" s="18" t="str">
        <x:v>tools.usefulverse.com</x:v>
      </x:c>
      <x:c r="D305" s="18" t="str">
        <x:v>https://tools.usefulverse.com/tools/image-sharpener/</x:v>
      </x:c>
      <x:c r="E305" s="22" t="n">
        <x:v>36</x:v>
      </x:c>
      <x:c r="F305" s="18" t="str">
        <x:v>Sí</x:v>
      </x:c>
      <x:c r="G305" s="18" t="str">
        <x:v>load a local raster image; adjust unsharp-mask radius, amount and threshold with a before/after comparison; preview at reduced dimensions and export a sharpened PNG or JPEG at the original dimensions</x:v>
      </x:c>
      <x:c r="H305" s="18" t="str">
        <x:v>growth600 · commit 8dfcc147a3</x:v>
      </x:c>
    </x:row>
    <x:row r="306" ht="48" customHeight="1">
      <x:c r="A306" s="18" t="str">
        <x:v>image-splitter</x:v>
      </x:c>
      <x:c r="B306" s="18" t="str">
        <x:v>image splitter</x:v>
      </x:c>
      <x:c r="C306" s="18" t="str">
        <x:v>tools.usefulverse.com</x:v>
      </x:c>
      <x:c r="D306" s="18" t="str">
        <x:v>https://tools.usefulverse.com/tools/image-splitter/</x:v>
      </x:c>
      <x:c r="E306" s="22" t="n">
        <x:v>36</x:v>
      </x:c>
      <x:c r="F306" s="18" t="str">
        <x:v>Sí</x:v>
      </x:c>
      <x:c r="G306" s="18" t="str">
        <x:v>split a local raster image into an even grid or fixed pixel-size PNG tiles; add optional overlapping edge pixels for print or editing workflows; download one ZIP with the tiles and a coordinate manifest whose core rectangles reconstruct the source without gaps</x:v>
      </x:c>
      <x:c r="H306" s="18" t="str">
        <x:v>growth600 · commit 8dfcc147a3</x:v>
      </x:c>
    </x:row>
    <x:row r="307" ht="48" customHeight="1">
      <x:c r="A307" s="18" t="str">
        <x:v>image-upscaler</x:v>
      </x:c>
      <x:c r="B307" s="18" t="str">
        <x:v>image upscaler</x:v>
      </x:c>
      <x:c r="C307" s="18" t="str">
        <x:v>tools.usefulverse.com</x:v>
      </x:c>
      <x:c r="D307" s="18" t="str">
        <x:v>https://tools.usefulverse.com/tools/image-upscaler/</x:v>
      </x:c>
      <x:c r="E307" s="22" t="n">
        <x:v>36</x:v>
      </x:c>
      <x:c r="F307" s="18" t="str">
        <x:v>Sí</x:v>
      </x:c>
      <x:c r="G307" s="18" t="str">
        <x:v>choose a local raster image; run a pinned lightweight 2× super-resolution model in a dedicated browser worker; process bounded overlapping tiles with progress and hard cancellation; compare the enlarged preview and download a new PNG</x:v>
      </x:c>
      <x:c r="H307" s="18" t="str">
        <x:v>growth600 · commit 8dfcc147a3</x:v>
      </x:c>
    </x:row>
    <x:row r="308" ht="48" customHeight="1">
      <x:c r="A308" s="18" t="str">
        <x:v>wallpaper-calculator</x:v>
      </x:c>
      <x:c r="B308" s="18" t="str">
        <x:v>wallpaper calculator</x:v>
      </x:c>
      <x:c r="C308" s="18" t="str">
        <x:v>tools.usefulverse.com</x:v>
      </x:c>
      <x:c r="D308" s="18" t="str">
        <x:v>https://tools.usefulverse.com/tools/wallpaper-calculator/</x:v>
      </x:c>
      <x:c r="E308" s="22" t="n">
        <x:v>36</x:v>
      </x:c>
      <x:c r="F308" s="18" t="str">
        <x:v>Sí</x:v>
      </x:c>
      <x:c r="G308" s="18" t="str">
        <x:v>estimate wallpaper strips from wall perimeter, height and roll width; round each drop up to the pattern repeat and include a fixed trim allowance; estimate usable drops per roll and whole roll count; deduct user-entered door and window area proportionally and apply extra material</x:v>
      </x:c>
      <x:c r="H308" s="18" t="str">
        <x:v>growth600 · commit 8dfcc147a3</x:v>
      </x:c>
    </x:row>
    <x:row r="309" ht="48" customHeight="1">
      <x:c r="A309" s="18" t="str">
        <x:v>mulch-calculator</x:v>
      </x:c>
      <x:c r="B309" s="18" t="str">
        <x:v>mulch calculator</x:v>
      </x:c>
      <x:c r="C309" s="18" t="str">
        <x:v>tools.usefulverse.com</x:v>
      </x:c>
      <x:c r="D309" s="18" t="str">
        <x:v>https://tools.usefulverse.com/tools/mulch-calculator/</x:v>
      </x:c>
      <x:c r="E309" s="22" t="n">
        <x:v>36</x:v>
      </x:c>
      <x:c r="F309" s="18" t="str">
        <x:v>Sí</x:v>
      </x:c>
      <x:c r="G309" s="18" t="str">
        <x:v>calculate rectangle or circle planting-bed area and combine repeated beds; estimate loose mulch volume from bed area and depth; add a configurable material allowance and convert to cubic metres/yards; round up bags from a selected litre or cubic-foot bag size and optionally estimate cost</x:v>
      </x:c>
      <x:c r="H309" s="18" t="str">
        <x:v>growth600 · commit 8dfcc147a3</x:v>
      </x:c>
    </x:row>
    <x:row r="310" ht="48" customHeight="1">
      <x:c r="A310" s="18" t="str">
        <x:v>pool-salt-calculator</x:v>
      </x:c>
      <x:c r="B310" s="18" t="str">
        <x:v>pool salt calculator</x:v>
      </x:c>
      <x:c r="C310" s="18" t="str">
        <x:v>tools.usefulverse.com</x:v>
      </x:c>
      <x:c r="D310" s="18" t="str">
        <x:v>https://tools.usefulverse.com/tools/pool-salt-calculator/</x:v>
      </x:c>
      <x:c r="E310" s="22" t="n">
        <x:v>36</x:v>
      </x:c>
      <x:c r="F310" s="18" t="str">
        <x:v>Sí</x:v>
      </x:c>
      <x:c r="G310" s="18" t="str">
        <x:v>convert pool volume from litres or US/imperial gallons; calculate salt mass from measured current and manufacturer-specified target salinity; adjust for user-entered salt purity; estimate whole salt bags from package weight in kilograms or pounds</x:v>
      </x:c>
      <x:c r="H310" s="18" t="str">
        <x:v>growth600 · commit 8dfcc147a3</x:v>
      </x:c>
    </x:row>
    <x:row r="311" ht="48" customHeight="1">
      <x:c r="A311" s="18" t="str">
        <x:v>fence-calculator</x:v>
      </x:c>
      <x:c r="B311" s="18" t="str">
        <x:v>fence calculator</x:v>
      </x:c>
      <x:c r="C311" s="18" t="str">
        <x:v>tools.usefulverse.com</x:v>
      </x:c>
      <x:c r="D311" s="18" t="str">
        <x:v>https://tools.usefulverse.com/tools/fence-calculator/</x:v>
      </x:c>
      <x:c r="E311" s="22" t="n">
        <x:v>36</x:v>
      </x:c>
      <x:c r="F311" s="18" t="str">
        <x:v>Sí</x:v>
      </x:c>
      <x:c r="G311" s="18" t="str">
        <x:v>estimate posts for straight fence sections and evenly distributed gate openings; compare panel and picket infill quantities; estimate picket spacing under a user-entered maximum gap; apply extra-material allowance and optional item costs</x:v>
      </x:c>
      <x:c r="H311" s="18" t="str">
        <x:v>growth600 · commit 8dfcc147a3</x:v>
      </x:c>
    </x:row>
    <x:row r="312" ht="48" customHeight="1">
      <x:c r="A312" s="18" t="str">
        <x:v>baluster-spacing-calculator</x:v>
      </x:c>
      <x:c r="B312" s="18" t="str">
        <x:v>baluster spacing calculator</x:v>
      </x:c>
      <x:c r="C312" s="18" t="str">
        <x:v>tools.usefulverse.com</x:v>
      </x:c>
      <x:c r="D312" s="18" t="str">
        <x:v>https://tools.usefulverse.com/tools/baluster-spacing-calculator/</x:v>
      </x:c>
      <x:c r="E312" s="22" t="n">
        <x:v>36</x:v>
      </x:c>
      <x:c r="F312" s="18" t="str">
        <x:v>Sí</x:v>
      </x:c>
      <x:c r="G312" s="18" t="str">
        <x:v>calculate a uniform clear gap from an opening width, baluster thickness and chosen count; estimate the minimum baluster count that stays within a user-entered maximum gap; show total baluster width, number of clear gaps and exact uniform spacing in metric or imperial units</x:v>
      </x:c>
      <x:c r="H312" s="18" t="str">
        <x:v>growth600 · commit 8dfcc147a3</x:v>
      </x:c>
    </x:row>
    <x:row r="313" ht="48" customHeight="1">
      <x:c r="A313" s="18" t="str">
        <x:v>retaining-wall-calculator</x:v>
      </x:c>
      <x:c r="B313" s="18" t="str">
        <x:v>retaining wall calculator</x:v>
      </x:c>
      <x:c r="C313" s="18" t="str">
        <x:v>tools.usefulverse.com</x:v>
      </x:c>
      <x:c r="D313" s="18" t="str">
        <x:v>https://tools.usefulverse.com/tools/retaining-wall-calculator/</x:v>
      </x:c>
      <x:c r="E313" s="22" t="n">
        <x:v>36</x:v>
      </x:c>
      <x:c r="F313" s="18" t="str">
        <x:v>Sí</x:v>
      </x:c>
      <x:c r="G313" s="18" t="str">
        <x:v>estimate block courses and whole blocks from a straight wall, editable block modules and joint thickness; estimate a rectangular user-dimensioned base-material volume and a rectangular backfill zone; apply a user-entered material allowance and show metric or cubic-foot quantities</x:v>
      </x:c>
      <x:c r="H313" s="18" t="str">
        <x:v>growth600 · commit 8dfcc147a3</x:v>
      </x:c>
    </x:row>
    <x:row r="314" ht="48" customHeight="1">
      <x:c r="A314" s="18" t="str">
        <x:v>battery-runtime-calculator</x:v>
      </x:c>
      <x:c r="B314" s="18" t="str">
        <x:v>battery runtime calculator</x:v>
      </x:c>
      <x:c r="C314" s="18" t="str">
        <x:v>tools.usefulverse.com</x:v>
      </x:c>
      <x:c r="D314" s="18" t="str">
        <x:v>https://tools.usefulverse.com/tools/battery-runtime-calculator/</x:v>
      </x:c>
      <x:c r="E314" s="22" t="n">
        <x:v>36</x:v>
      </x:c>
      <x:c r="F314" s="18" t="str">
        <x:v>Sí</x:v>
      </x:c>
      <x:c r="G314" s="18" t="str">
        <x:v>estimate runtime from a battery energy rating in Wh/kWh or from Ah and voltage; apply user-entered depth-of-discharge and system-efficiency percentages; show nominal and usable energy alongside hours and days for transparent assumptions</x:v>
      </x:c>
      <x:c r="H314" s="18" t="str">
        <x:v>growth600 · commit 8dfcc147a3</x:v>
      </x:c>
    </x:row>
    <x:row r="315" ht="48" customHeight="1">
      <x:c r="A315" s="18" t="str">
        <x:v>lumber-cut-calculator</x:v>
      </x:c>
      <x:c r="B315" s="18" t="str">
        <x:v>cut list optimizer</x:v>
      </x:c>
      <x:c r="C315" s="18" t="str">
        <x:v>tools.usefulverse.com</x:v>
      </x:c>
      <x:c r="D315" s="18" t="str">
        <x:v>https://tools.usefulverse.com/tools/lumber-cut-calculator/</x:v>
      </x:c>
      <x:c r="E315" s="22" t="n">
        <x:v>36</x:v>
      </x:c>
      <x:c r="F315" s="18" t="str">
        <x:v>Sí</x:v>
      </x:c>
      <x:c r="G315" s="18" t="str">
        <x:v>allocate a bounded list of linear cuts across stock boards with a selected saw kerf; show per-board cut layouts, remaining offcut and total kerf allowance; accept a single shared measurement unit and quantity per cut size</x:v>
      </x:c>
      <x:c r="H315" s="18" t="str">
        <x:v>growth600 · commit 8dfcc147a3</x:v>
      </x:c>
    </x:row>
    <x:row r="316" ht="48" customHeight="1">
      <x:c r="A316" s="18" t="str">
        <x:v>plant-spacing-calculator</x:v>
      </x:c>
      <x:c r="B316" s="18" t="str">
        <x:v>plant spacing calculator</x:v>
      </x:c>
      <x:c r="C316" s="18" t="str">
        <x:v>tools.usefulverse.com</x:v>
      </x:c>
      <x:c r="D316" s="18" t="str">
        <x:v>https://tools.usefulverse.com/tools/plant-spacing-calculator/</x:v>
      </x:c>
      <x:c r="E316" s="22" t="n">
        <x:v>36</x:v>
      </x:c>
      <x:c r="F316" s="18" t="str">
        <x:v>Sí</x:v>
      </x:c>
      <x:c r="G316" s="18" t="str">
        <x:v>estimate plant and row counts inside a rectangular bed from center-based edge margins; compare regular grid and staggered triangular layouts; show actual layout count, planting area and approximate density in a shared length unit</x:v>
      </x:c>
      <x:c r="H316" s="18" t="str">
        <x:v>growth600 · commit 8dfcc147a3</x:v>
      </x:c>
    </x:row>
    <x:row r="317" ht="48" customHeight="1">
      <x:c r="A317" s="18" t="str">
        <x:v>ev-charging-calculator</x:v>
      </x:c>
      <x:c r="B317" s="18" t="str">
        <x:v>ev charging calculator</x:v>
      </x:c>
      <x:c r="C317" s="18" t="str">
        <x:v>tools.usefulverse.com</x:v>
      </x:c>
      <x:c r="D317" s="18" t="str">
        <x:v>https://tools.usefulverse.com/tools/ev-charging-calculator/</x:v>
      </x:c>
      <x:c r="E317" s="22" t="n">
        <x:v>36</x:v>
      </x:c>
      <x:c r="F317" s="18" t="str">
        <x:v>Sí</x:v>
      </x:c>
      <x:c r="G317" s="18" t="str">
        <x:v>estimate battery energy between user-entered starting and target state of charge; estimate grid energy and charging time from charger power and user-entered efficiency; optionally estimate electricity cost from a user-entered tariff and currency code</x:v>
      </x:c>
      <x:c r="H317" s="18" t="str">
        <x:v>growth600 · commit 8dfcc147a3</x:v>
      </x:c>
    </x:row>
    <x:row r="318" ht="48" customHeight="1">
      <x:c r="A318" s="18" t="str">
        <x:v>rainwater-harvesting-calculator</x:v>
      </x:c>
      <x:c r="B318" s="18" t="str">
        <x:v>rainwater harvesting calculator</x:v>
      </x:c>
      <x:c r="C318" s="18" t="str">
        <x:v>tools.usefulverse.com</x:v>
      </x:c>
      <x:c r="D318" s="18" t="str">
        <x:v>https://tools.usefulverse.com/tools/rainwater-harvesting-calculator/</x:v>
      </x:c>
      <x:c r="E318" s="22" t="n">
        <x:v>36</x:v>
      </x:c>
      <x:c r="F318" s="18" t="str">
        <x:v>Sí</x:v>
      </x:c>
      <x:c r="G318" s="18" t="str">
        <x:v>convert a twelve-month rainfall series and roof catchment area into runoff-adjusted collection estimates; model tank storage, monthly demand, overflow and unmet demand across the year; allow metric or imperial catchment and tank-volume units with user-selected runoff efficiency</x:v>
      </x:c>
      <x:c r="H318" s="18" t="str">
        <x:v>growth600 · commit 8dfcc147a3</x:v>
      </x:c>
    </x:row>
    <x:row r="319" ht="48" customHeight="1">
      <x:c r="A319" s="18" t="str">
        <x:v>ramp-calculator</x:v>
      </x:c>
      <x:c r="B319" s="18" t="str">
        <x:v>ramp calculator</x:v>
      </x:c>
      <x:c r="C319" s="18" t="str">
        <x:v>tools.usefulverse.com</x:v>
      </x:c>
      <x:c r="D319" s="18" t="str">
        <x:v>https://tools.usefulverse.com/tools/ramp-calculator/</x:v>
      </x:c>
      <x:c r="E319" s="22" t="n">
        <x:v>36</x:v>
      </x:c>
      <x:c r="F319" s="18" t="str">
        <x:v>Sí</x:v>
      </x:c>
      <x:c r="G319" s="18" t="str">
        <x:v>calculate horizontal run and sloped surface length from a rise and user-selected slope ratio; include a user-entered count and depth for level landings in total horizontal planning length; show slope percentage and angle without selecting a legal or accessible slope</x:v>
      </x:c>
      <x:c r="H319" s="18" t="str">
        <x:v>growth600 · commit 8dfcc147a3</x:v>
      </x:c>
    </x:row>
    <x:row r="320" ht="48" customHeight="1">
      <x:c r="A320" s="18" t="str">
        <x:v>heat-loss-calculator</x:v>
      </x:c>
      <x:c r="B320" s="18" t="str">
        <x:v>heat loss calculator</x:v>
      </x:c>
      <x:c r="C320" s="18" t="str">
        <x:v>tools.usefulverse.com</x:v>
      </x:c>
      <x:c r="D320" s="18" t="str">
        <x:v>https://tools.usefulverse.com/tools/heat-loss-calculator/</x:v>
      </x:c>
      <x:c r="E320" s="22" t="n">
        <x:v>36</x:v>
      </x:c>
      <x:c r="F320" s="18" t="str">
        <x:v>Sí</x:v>
      </x:c>
      <x:c r="G320" s="18" t="str">
        <x:v>estimate transmission heat loss separately for walls, roof, windows and floor from entered areas and U-values; add a simplified ventilation term from room volume and air changes per hour; convert temperature difference from K or °F and report total heat-loss rate in W and BTU/h</x:v>
      </x:c>
      <x:c r="H320" s="18" t="str">
        <x:v>growth600 · commit 8dfcc147a3</x:v>
      </x:c>
    </x:row>
    <x:row r="321" ht="48" customHeight="1">
      <x:c r="A321" s="18" t="str">
        <x:v>heat-pump-calculator</x:v>
      </x:c>
      <x:c r="B321" s="18" t="str">
        <x:v>heat pump calculator</x:v>
      </x:c>
      <x:c r="C321" s="18" t="str">
        <x:v>tools.usefulverse.com</x:v>
      </x:c>
      <x:c r="D321" s="18" t="str">
        <x:v>https://tools.usefulverse.com/tools/heat-pump-calculator/</x:v>
      </x:c>
      <x:c r="E321" s="22" t="n">
        <x:v>36</x:v>
      </x:c>
      <x:c r="F321" s="18" t="str">
        <x:v>Sí</x:v>
      </x:c>
      <x:c r="G321" s="18" t="str">
        <x:v>convert a user-entered heat-output rate from kW or BTU/h; estimate electrical input power and daily energy from a user-entered COP and operating hours; estimate hourly, daily and 30-day running cost from a user-entered electricity price and currency; compare energy use and cost against an idealized electric-resistance baseline delivering the same heat output</x:v>
      </x:c>
      <x:c r="H321" s="18" t="str">
        <x:v>growth600 · commit 8dfcc147a3</x:v>
      </x:c>
    </x:row>
    <x:row r="322" ht="48" customHeight="1">
      <x:c r="A322" s="18" t="str">
        <x:v>thermal-expansion-calculator</x:v>
      </x:c>
      <x:c r="B322" s="18" t="str">
        <x:v>thermal expansion calculator</x:v>
      </x:c>
      <x:c r="C322" s="18" t="str">
        <x:v>tools.usefulverse.com</x:v>
      </x:c>
      <x:c r="D322" s="18" t="str">
        <x:v>https://tools.usefulverse.com/tools/thermal-expansion-calculator/</x:v>
      </x:c>
      <x:c r="E322" s="22" t="n">
        <x:v>36</x:v>
      </x:c>
      <x:c r="F322" s="18" t="str">
        <x:v>Sí</x:v>
      </x:c>
      <x:c r="G322" s="18" t="str">
        <x:v>calculate linear, area, or volume change from an entered initial dimension, matching expansion coefficient, and temperature difference; convert Celsius/Fahrenheit temperature differences and coefficients per Celsius/per Fahrenheit consistently; accept common metric and imperial length, area, or volume units and report results in the selected input unit; allow negative expansion coefficients and reject combinations that imply a negative final dimension</x:v>
      </x:c>
      <x:c r="H322" s="18" t="str">
        <x:v>growth600 · commit 8dfcc147a3</x:v>
      </x:c>
    </x:row>
    <x:row r="323" ht="48" customHeight="1">
      <x:c r="A323" s="18" t="str">
        <x:v>specific-heat-calculator</x:v>
      </x:c>
      <x:c r="B323" s="18" t="str">
        <x:v>specific heat calculator</x:v>
      </x:c>
      <x:c r="C323" s="18" t="str">
        <x:v>tools.usefulverse.com</x:v>
      </x:c>
      <x:c r="D323" s="18" t="str">
        <x:v>https://tools.usefulverse.com/tools/specific-heat-calculator/</x:v>
      </x:c>
      <x:c r="E323" s="22" t="n">
        <x:v>36</x:v>
      </x:c>
      <x:c r="F323" s="18" t="str">
        <x:v>Sí</x:v>
      </x:c>
      <x:c r="G323" s="18" t="str">
        <x:v>solve Q = m·c·ΔT for heat energy, mass, specific heat capacity or temperature difference with common metric and US customary units; estimate ideal equilibrium temperature for two mixed materials using their masses and specific heat capacities; let the user enter heat lost from or added to the mixed system, with visible assumptions and copyable results</x:v>
      </x:c>
      <x:c r="H323" s="18" t="str">
        <x:v>growth600 · commit 8dfcc147a3</x:v>
      </x:c>
    </x:row>
    <x:row r="324" ht="48" customHeight="1">
      <x:c r="A324" s="18" t="str">
        <x:v>molarity-calculator</x:v>
      </x:c>
      <x:c r="B324" s="18" t="str">
        <x:v>molarity calculator</x:v>
      </x:c>
      <x:c r="C324" s="18" t="str">
        <x:v>tools.usefulverse.com</x:v>
      </x:c>
      <x:c r="D324" s="18" t="str">
        <x:v>https://tools.usefulverse.com/tools/molarity-calculator/</x:v>
      </x:c>
      <x:c r="E324" s="22" t="n">
        <x:v>36</x:v>
      </x:c>
      <x:c r="F324" s="18" t="str">
        <x:v>Sí</x:v>
      </x:c>
      <x:c r="G324" s="18" t="str">
        <x:v>solve molar concentration from amount of substance and final solution volume; solve moles or solution volume from the other two values; estimate solute mass from target molarity, final solution volume and entered molar mass; provide an explicit final-volume example and distinguish molarity from molality</x:v>
      </x:c>
      <x:c r="H324" s="18" t="str">
        <x:v>growth600 · commit 8dfcc147a3</x:v>
      </x:c>
    </x:row>
    <x:row r="325" ht="48" customHeight="1">
      <x:c r="A325" s="18" t="str">
        <x:v>ph-calculator</x:v>
      </x:c>
      <x:c r="B325" s="18" t="str">
        <x:v>ph calculator</x:v>
      </x:c>
      <x:c r="C325" s="18" t="str">
        <x:v>tools.usefulverse.com</x:v>
      </x:c>
      <x:c r="D325" s="18" t="str">
        <x:v>https://tools.usefulverse.com/tools/ph-calculator/</x:v>
      </x:c>
      <x:c r="E325" s="22" t="n">
        <x:v>36</x:v>
      </x:c>
      <x:c r="F325" s="18" t="str">
        <x:v>Sí</x:v>
      </x:c>
      <x:c r="G325" s="18" t="str">
        <x:v>estimate pH and pOH for idealized strong acid/base concentration models and monoprotic weak acid/base equilibrium; solve weak equilibrium with mass balance and water autoionization at 25 °C; show hydrogen and hydroxide concentrations, estimated ionization and assumptions in the result</x:v>
      </x:c>
      <x:c r="H325" s="18" t="str">
        <x:v>growth600 · commit 8dfcc147a3</x:v>
      </x:c>
    </x:row>
    <x:row r="326" ht="48" customHeight="1">
      <x:c r="A326" s="18" t="str">
        <x:v>section-modulus-calculator</x:v>
      </x:c>
      <x:c r="B326" s="18" t="str">
        <x:v>moment of inertia calculator</x:v>
      </x:c>
      <x:c r="C326" s="18" t="str">
        <x:v>tools.usefulverse.com</x:v>
      </x:c>
      <x:c r="D326" s="18" t="str">
        <x:v>https://tools.usefulverse.com/tools/section-modulus-calculator/</x:v>
      </x:c>
      <x:c r="E326" s="22" t="n">
        <x:v>36</x:v>
      </x:c>
      <x:c r="F326" s="18" t="str">
        <x:v>Sí</x:v>
      </x:c>
      <x:c r="G326" s="18" t="str">
        <x:v>calculate area and centroid coordinates for solid rectangle, solid circle, centered hollow rectangle, circular tube and triangle cross-sections; calculate centroidal Ix and Iy in the same user-selected length unit as the dimensions; report elastic section modulus about x with separate top and bottom values for an asymmetric triangle, and about y; show a clear structural-design boundary and keep all inputs in the browser</x:v>
      </x:c>
      <x:c r="H326" s="18" t="str">
        <x:v>growth600 · commit 8dfcc147a3</x:v>
      </x:c>
    </x:row>
    <x:row r="327" ht="48" customHeight="1">
      <x:c r="A327" s="18" t="str">
        <x:v>frequency-wavelength-calculator</x:v>
      </x:c>
      <x:c r="B327" s="18" t="str">
        <x:v>wavelength calculator</x:v>
      </x:c>
      <x:c r="C327" s="18" t="str">
        <x:v>tools.usefulverse.com</x:v>
      </x:c>
      <x:c r="D327" s="18" t="str">
        <x:v>https://tools.usefulverse.com/tools/frequency-wavelength-calculator/</x:v>
      </x:c>
      <x:c r="E327" s="22" t="n">
        <x:v>36</x:v>
      </x:c>
      <x:c r="F327" s="18" t="str">
        <x:v>Sí</x:v>
      </x:c>
      <x:c r="G327" s="18" t="str">
        <x:v>solve exactly one missing value among wave frequency, wavelength and propagation speed using v=f×λ; convert Hz through THz, nm through km, and m/s or km/s without mixing the displayed units; offer approximate optical light-speed presets for vacuum, air, water and glass, plus custom speed for sound or other waves; show the solved value, all three values, units and the equation while keeping calculation inputs in the browser</x:v>
      </x:c>
      <x:c r="H327" s="18" t="str">
        <x:v>growth600 · commit 8dfcc147a3</x:v>
      </x:c>
    </x:row>
    <x:row r="328" ht="48" customHeight="1">
      <x:c r="A328" s="18" t="str">
        <x:v>ideal-gas-law-calculator</x:v>
      </x:c>
      <x:c r="B328" s="18" t="str">
        <x:v>ideal gas law calculator</x:v>
      </x:c>
      <x:c r="C328" s="18" t="str">
        <x:v>tools.usefulverse.com</x:v>
      </x:c>
      <x:c r="D328" s="18" t="str">
        <x:v>https://tools.usefulverse.com/tools/ideal-gas-law-calculator/</x:v>
      </x:c>
      <x:c r="E328" s="22" t="n">
        <x:v>36</x:v>
      </x:c>
      <x:c r="F328" s="18" t="str">
        <x:v>Sí</x:v>
      </x:c>
      <x:c r="G328" s="18" t="str">
        <x:v>solve exactly one missing pressure, volume, amount of gas or absolute temperature with PV=nRT; convert common SI and customary pressure, volume and amount units while preserving physical values when units change; accept kelvin or Celsius and reject temperatures at or below absolute zero; show all four values, units, equation and the model limits; keep arithmetic in the browser</x:v>
      </x:c>
      <x:c r="H328" s="18" t="str">
        <x:v>growth600 · commit 8dfcc147a3</x:v>
      </x:c>
    </x:row>
    <x:row r="329" ht="48" customHeight="1">
      <x:c r="A329" s="18" t="str">
        <x:v>torque-calculator</x:v>
      </x:c>
      <x:c r="B329" s="18" t="str">
        <x:v>torque calculator</x:v>
      </x:c>
      <x:c r="C329" s="18" t="str">
        <x:v>tools.usefulverse.com</x:v>
      </x:c>
      <x:c r="D329" s="18" t="str">
        <x:v>https://tools.usefulverse.com/tools/torque-calculator/</x:v>
      </x:c>
      <x:c r="E329" s="22" t="n">
        <x:v>36</x:v>
      </x:c>
      <x:c r="F329" s="18" t="str">
        <x:v>Sí</x:v>
      </x:c>
      <x:c r="G329" s="18" t="str">
        <x:v>calculate torque magnitude from force, lever arm distance and angle using τ = rF sin(θ); solve for force or lever arm from known torque and the other input; convert force between N, kN and lbf, distance between m, cm, mm, ft and in, and torque between N·m, kN·m, lb·ft and lb·in; show perpendicular force and moment-arm components, direction, formula and a small lever diagram</x:v>
      </x:c>
      <x:c r="H329" s="18" t="str">
        <x:v>growth600 · commit 8dfcc147a3</x:v>
      </x:c>
    </x:row>
    <x:row r="330" ht="48" customHeight="1">
      <x:c r="A330" s="18" t="str">
        <x:v>beam-deflection-calculator</x:v>
      </x:c>
      <x:c r="B330" s="18" t="str">
        <x:v>beam deflection calculator</x:v>
      </x:c>
      <x:c r="C330" s="18" t="str">
        <x:v>tools.usefulverse.com</x:v>
      </x:c>
      <x:c r="D330" s="18" t="str">
        <x:v>https://tools.usefulverse.com/tools/beam-deflection-calculator/</x:v>
      </x:c>
      <x:c r="E330" s="22" t="n">
        <x:v>36</x:v>
      </x:c>
      <x:c r="F330" s="18" t="str">
        <x:v>Sí</x:v>
      </x:c>
      <x:c r="G330" s="18" t="str">
        <x:v>estimate elastic deflection for simply supported and cantilever beams under a centered point load or full-span uniform load; enter span, load, elastic modulus and second moment of area with explicit compatible units; show maximum deflection, location, bending moment, flexural rigidity and a sampled deflection curve; state the Euler–Bernoulli small-deflection assumptions and the educational-only design boundary</x:v>
      </x:c>
      <x:c r="H330" s="18" t="str">
        <x:v>growth600 · commit 8dfcc147a3</x:v>
      </x:c>
    </x:row>
    <x:row r="331" ht="48" customHeight="1">
      <x:c r="A331" s="18" t="str">
        <x:v>led-resistor-calculator</x:v>
      </x:c>
      <x:c r="B331" s="18" t="str">
        <x:v>led resistor calculator</x:v>
      </x:c>
      <x:c r="C331" s="18" t="str">
        <x:v>tools.usefulverse.com</x:v>
      </x:c>
      <x:c r="D331" s="18" t="str">
        <x:v>https://tools.usefulverse.com/tools/led-resistor-calculator/</x:v>
      </x:c>
      <x:c r="E331" s="22" t="n">
        <x:v>36</x:v>
      </x:c>
      <x:c r="F331" s="18" t="str">
        <x:v>Sí</x:v>
      </x:c>
      <x:c r="G331" s="18" t="str">
        <x:v>calculate the required series resistance from supply voltage, LED forward voltage, series LED count and target current; round upward to a preferred E12 or E24 resistor value so the estimated current does not exceed the requested target; show the resulting current, resistor dissipation and a conservative next standard power rating</x:v>
      </x:c>
      <x:c r="H331" s="18" t="str">
        <x:v>growth600 · commit 8dfcc147a3</x:v>
      </x:c>
    </x:row>
    <x:row r="332" ht="48" customHeight="1">
      <x:c r="A332" s="18" t="str">
        <x:v>flow-rate-calculator</x:v>
      </x:c>
      <x:c r="B332" s="18" t="str">
        <x:v>flow rate calculator</x:v>
      </x:c>
      <x:c r="C332" s="18" t="str">
        <x:v>tools.usefulverse.com</x:v>
      </x:c>
      <x:c r="D332" s="18" t="str">
        <x:v>https://tools.usefulverse.com/tools/flow-rate-calculator/</x:v>
      </x:c>
      <x:c r="E332" s="22" t="n">
        <x:v>36</x:v>
      </x:c>
      <x:c r="F332" s="18" t="str">
        <x:v>Sí</x:v>
      </x:c>
      <x:c r="G332" s="18" t="str">
        <x:v>calculate volumetric flow Q = area × average velocity or solve cross-sectional area or velocity from known flow; convert area, velocity and flow rate across common metric and US customary units; estimate tank/container fill time from volume and a constant flow rate</x:v>
      </x:c>
      <x:c r="H332" s="18" t="str">
        <x:v>growth600 · commit 8dfcc147a3</x:v>
      </x:c>
    </x:row>
    <x:row r="333" ht="48" customHeight="1">
      <x:c r="A333" s="18" t="str">
        <x:v>reynolds-number-calculator</x:v>
      </x:c>
      <x:c r="B333" s="18" t="str">
        <x:v>reynolds number calculator</x:v>
      </x:c>
      <x:c r="C333" s="18" t="str">
        <x:v>tools.usefulverse.com</x:v>
      </x:c>
      <x:c r="D333" s="18" t="str">
        <x:v>https://tools.usefulverse.com/tools/reynolds-number-calculator/</x:v>
      </x:c>
      <x:c r="E333" s="22" t="n">
        <x:v>36</x:v>
      </x:c>
      <x:c r="F333" s="18" t="str">
        <x:v>Sí</x:v>
      </x:c>
      <x:c r="G333" s="18" t="str">
        <x:v>calculate Re = density × velocity × characteristic length ÷ dynamic viscosity or velocity × length ÷ kinematic viscosity; convert common SI and US customary units for density, velocity, length and viscosity; show conventional internal-pipe regime ranges while identifying external-flow classification as context-dependent</x:v>
      </x:c>
      <x:c r="H333" s="18" t="str">
        <x:v>growth600 · commit 8dfcc147a3</x:v>
      </x:c>
    </x:row>
    <x:row r="334" ht="48" customHeight="1">
      <x:c r="A334" s="18" t="str">
        <x:v>three-phase-power-calculator</x:v>
      </x:c>
      <x:c r="B334" s="18" t="str">
        <x:v>three phase power calculator</x:v>
      </x:c>
      <x:c r="C334" s="18" t="str">
        <x:v>tools.usefulverse.com</x:v>
      </x:c>
      <x:c r="D334" s="18" t="str">
        <x:v>https://tools.usefulverse.com/tools/three-phase-power-calculator/</x:v>
      </x:c>
      <x:c r="E334" s="22" t="n">
        <x:v>36</x:v>
      </x:c>
      <x:c r="F334" s="18" t="str">
        <x:v>Sí</x:v>
      </x:c>
      <x:c r="G334" s="18" t="str">
        <x:v>estimate active, apparent and reactive power from line voltage, line current and power factor; switch between single-phase and balanced three-phase AC; show star/wye or delta phase voltage and current relationships</x:v>
      </x:c>
      <x:c r="H334" s="18" t="str">
        <x:v>growth600 · commit 8dfcc147a3</x:v>
      </x:c>
    </x:row>
    <x:row r="335" ht="48" customHeight="1">
      <x:c r="A335" s="18" t="str">
        <x:v>dilution-calculator</x:v>
      </x:c>
      <x:c r="B335" s="18" t="str">
        <x:v>dilution calculator</x:v>
      </x:c>
      <x:c r="C335" s="18" t="str">
        <x:v>tools.usefulverse.com</x:v>
      </x:c>
      <x:c r="D335" s="18" t="str">
        <x:v>https://tools.usefulverse.com/tools/dilution-calculator/</x:v>
      </x:c>
      <x:c r="E335" s="22" t="n">
        <x:v>36</x:v>
      </x:c>
      <x:c r="F335" s="18" t="str">
        <x:v>Sí</x:v>
      </x:c>
      <x:c r="G335" s="18" t="str">
        <x:v>solve stock aliquot and idealized diluent volume for a direct C1V1=C2V2 dilution; split a total dilution factor into equal serial steps and calculate per-step transfer and diluent volumes; support consistent user-selected concentration units and L/mL volume units with explicit assumptions</x:v>
      </x:c>
      <x:c r="H335" s="18" t="str">
        <x:v>growth600 · commit 8dfcc147a3</x:v>
      </x:c>
    </x:row>
    <x:row r="336" ht="48" customHeight="1">
      <x:c r="A336" s="18" t="str">
        <x:v>ohms-law-calculator</x:v>
      </x:c>
      <x:c r="B336" s="18" t="str">
        <x:v>ohms law calculator</x:v>
      </x:c>
      <x:c r="C336" s="18" t="str">
        <x:v>tools.usefulverse.com</x:v>
      </x:c>
      <x:c r="D336" s="18" t="str">
        <x:v>https://tools.usefulverse.com/tools/ohms-law-calculator/</x:v>
      </x:c>
      <x:c r="E336" s="22" t="n">
        <x:v>36</x:v>
      </x:c>
      <x:c r="F336" s="18" t="str">
        <x:v>Sí</x:v>
      </x:c>
      <x:c r="G336" s="18" t="str">
        <x:v>solve voltage, current, resistance and power from any two valid positive values using the DC resistive Ohm’s-law relationships; calculate equivalent resistance for a list of 2 to 20 resistors in series or parallel; show all solved values with explicit V, A, Ω and W units and a copyable result</x:v>
      </x:c>
      <x:c r="H336" s="18" t="str">
        <x:v>growth600 · commit 8dfcc147a3</x:v>
      </x:c>
    </x:row>
    <x:row r="337" ht="48" customHeight="1">
      <x:c r="A337" s="18" t="str">
        <x:v>transformer-calculator</x:v>
      </x:c>
      <x:c r="B337" s="18" t="str">
        <x:v>transformer calculator</x:v>
      </x:c>
      <x:c r="C337" s="18" t="str">
        <x:v>tools.usefulverse.com</x:v>
      </x:c>
      <x:c r="D337" s="18" t="str">
        <x:v>https://tools.usefulverse.com/tools/transformer-calculator/</x:v>
      </x:c>
      <x:c r="E337" s="22" t="n">
        <x:v>36</x:v>
      </x:c>
      <x:c r="F337" s="18" t="str">
        <x:v>Sí</x:v>
      </x:c>
      <x:c r="G337" s="18" t="str">
        <x:v>calculate ideal secondary voltage from primary voltage and primary/secondary turns; find the turns ratio from primary and secondary voltage; estimate secondary current from primary current, turns ratio and a user-entered efficiency</x:v>
      </x:c>
      <x:c r="H337" s="18" t="str">
        <x:v>growth600 · commit 8dfcc147a3</x:v>
      </x:c>
    </x:row>
    <x:row r="338" ht="48" customHeight="1">
      <x:c r="A338" s="18" t="str">
        <x:v>stoichiometry-calculator</x:v>
      </x:c>
      <x:c r="B338" s="18" t="str">
        <x:v>stoichiometry calculator</x:v>
      </x:c>
      <x:c r="C338" s="18" t="str">
        <x:v>tools.usefulverse.com</x:v>
      </x:c>
      <x:c r="D338" s="18" t="str">
        <x:v>https://tools.usefulverse.com/tools/stoichiometry-calculator/</x:v>
      </x:c>
      <x:c r="E338" s="22" t="n">
        <x:v>36</x:v>
      </x:c>
      <x:c r="F338" s="18" t="str">
        <x:v>Sí</x:v>
      </x:c>
      <x:c r="G338" s="18" t="str">
        <x:v>balance a supported neutral reaction and show its coefficient ratios; enter mass in grams or amount in moles for each reactant and identify the limiting reactant or tied limiting reactants; calculate theoretical moles and mass for every product using the supported molar-mass table; optionally compare actual product mass with theoretical mass to calculate percent yield and show the calculation steps</x:v>
      </x:c>
      <x:c r="H338" s="18" t="str">
        <x:v>growth600 · commit 8dfcc147a3</x:v>
      </x:c>
    </x:row>
    <x:row r="339" ht="48" customHeight="1">
      <x:c r="A339" s="18" t="str">
        <x:v>pressure-calculator</x:v>
      </x:c>
      <x:c r="B339" s="18" t="str">
        <x:v>pressure calculator</x:v>
      </x:c>
      <x:c r="C339" s="18" t="str">
        <x:v>tools.usefulverse.com</x:v>
      </x:c>
      <x:c r="D339" s="18" t="str">
        <x:v>https://tools.usefulverse.com/tools/pressure-calculator/</x:v>
      </x:c>
      <x:c r="E339" s="22" t="n">
        <x:v>36</x:v>
      </x:c>
      <x:c r="F339" s="18" t="str">
        <x:v>Sí</x:v>
      </x:c>
      <x:c r="G339" s="18" t="str">
        <x:v>calculate average pressure from a normal force and contact area with selectable force, area, and pressure units; estimate hydrostatic gauge pressure from user-entered fluid density, depth, and gravitational acceleration; show the selected model and converted inputs with the result so the assumptions are transparent</x:v>
      </x:c>
      <x:c r="H339" s="18" t="str">
        <x:v>growth600 · commit 8dfcc147a3</x:v>
      </x:c>
    </x:row>
    <x:row r="340" ht="48" customHeight="1">
      <x:c r="A340" s="18" t="str">
        <x:v>pcb-trace-width-calculator</x:v>
      </x:c>
      <x:c r="B340" s="18" t="str">
        <x:v>pcb trace width calculator</x:v>
      </x:c>
      <x:c r="C340" s="18" t="str">
        <x:v>tools.usefulverse.com</x:v>
      </x:c>
      <x:c r="D340" s="18" t="str">
        <x:v>https://tools.usefulverse.com/tools/pcb-trace-width-calculator/</x:v>
      </x:c>
      <x:c r="E340" s="22" t="n">
        <x:v>36</x:v>
      </x:c>
      <x:c r="F340" s="18" t="str">
        <x:v>Sí</x:v>
      </x:c>
      <x:c r="G340" s="18" t="str">
        <x:v>estimate PCB copper trace width from current, copper weight, allowable temperature rise, and internal or external layer; estimate current capacity for a specified width and copper weight using the same explicit model; show width in mil and mm and disclose the empirical model and assumptions</x:v>
      </x:c>
      <x:c r="H340" s="18" t="str">
        <x:v>growth600 · commit 8dfcc147a3</x:v>
      </x:c>
    </x:row>
    <x:row r="341" ht="48" customHeight="1">
      <x:c r="A341" s="18" t="str">
        <x:v>projectile-motion-calculator</x:v>
      </x:c>
      <x:c r="B341" s="18" t="str">
        <x:v>projectile motion calculator</x:v>
      </x:c>
      <x:c r="C341" s="18" t="str">
        <x:v>tools.usefulverse.com</x:v>
      </x:c>
      <x:c r="D341" s="18" t="str">
        <x:v>https://tools.usefulverse.com/tools/projectile-motion-calculator/</x:v>
      </x:c>
      <x:c r="E341" s="22" t="n">
        <x:v>36</x:v>
      </x:c>
      <x:c r="F341" s="18" t="str">
        <x:v>Sí</x:v>
      </x:c>
      <x:c r="G341" s="18" t="str">
        <x:v>calculate an ideal projectile path with launch speed, angle, initial height and constant gravity, without air resistance; report flight time, horizontal range, peak height, time to peak and impact speed in selected units; plot the trajectory and let the visitor replay its motion on demand, respecting reduced-motion preferences</x:v>
      </x:c>
      <x:c r="H341" s="18" t="str">
        <x:v>growth600 · commit 8dfcc147a3</x:v>
      </x:c>
    </x:row>
    <x:row r="342" ht="48" customHeight="1">
      <x:c r="A342" s="18" t="str">
        <x:v>pulley-calculator</x:v>
      </x:c>
      <x:c r="B342" s="18" t="str">
        <x:v>pulley calculator</x:v>
      </x:c>
      <x:c r="C342" s="18" t="str">
        <x:v>tools.usefulverse.com</x:v>
      </x:c>
      <x:c r="D342" s="18" t="str">
        <x:v>https://tools.usefulverse.com/tools/pulley-calculator/</x:v>
      </x:c>
      <x:c r="E342" s="22" t="n">
        <x:v>36</x:v>
      </x:c>
      <x:c r="F342" s="18" t="str">
        <x:v>Sí</x:v>
      </x:c>
      <x:c r="G342" s="18" t="str">
        <x:v>estimate an open two-pulley belt pitch length from driver and driven diameters and center distance; calculate ideal driven RPM from pulley diameters and input RPM, including speed increases or reductions; show belt linear speed, approximate small-pulley wrap angle and a labeled local geometry sketch</x:v>
      </x:c>
      <x:c r="H342" s="18" t="str">
        <x:v>growth600 · commit 8dfcc147a3</x:v>
      </x:c>
    </x:row>
    <x:row r="343" ht="48" customHeight="1">
      <x:c r="A343" s="18" t="str">
        <x:v>rlc-circuit-calculator</x:v>
      </x:c>
      <x:c r="B343" s="18" t="str">
        <x:v>resonant frequency calculator</x:v>
      </x:c>
      <x:c r="C343" s="18" t="str">
        <x:v>tools.usefulverse.com</x:v>
      </x:c>
      <x:c r="D343" s="18" t="str">
        <x:v>https://tools.usefulverse.com/tools/rlc-circuit-calculator/</x:v>
      </x:c>
      <x:c r="E343" s="22" t="n">
        <x:v>36</x:v>
      </x:c>
      <x:c r="F343" s="18" t="str">
        <x:v>Sí</x:v>
      </x:c>
      <x:c r="G343" s="18" t="str">
        <x:v>calculate ideal LC resonant frequency, topology-specific quality factor Q and bandwidth for series or parallel RLC circuits; calculate inductive and capacitive reactance plus complex impedance magnitude and phase at a user-selected frequency; estimate RMS source current and show a local log-frequency impedance response curve around resonance</x:v>
      </x:c>
      <x:c r="H343" s="18" t="str">
        <x:v>growth600 · commit 8dfcc147a3</x:v>
      </x:c>
    </x:row>
    <x:row r="344" ht="48" customHeight="1">
      <x:c r="A344" s="18" t="str">
        <x:v>antenna-length-calculator</x:v>
      </x:c>
      <x:c r="B344" s="18" t="str">
        <x:v>dipole antenna calculator</x:v>
      </x:c>
      <x:c r="C344" s="18" t="str">
        <x:v>tools.usefulverse.com</x:v>
      </x:c>
      <x:c r="D344" s="18" t="str">
        <x:v>https://tools.usefulverse.com/tools/antenna-length-calculator/</x:v>
      </x:c>
      <x:c r="E344" s="22" t="n">
        <x:v>36</x:v>
      </x:c>
      <x:c r="F344" s="18" t="str">
        <x:v>Sí</x:v>
      </x:c>
      <x:c r="G344" s="18" t="str">
        <x:v>estimate free-space wavelength and ideal half-wave dipole or quarter-wave monopole length from operating frequency; apply an editable conductor shortening factor and show both the ideal length and a practical starting estimate; show the total dipole length, each equal dipole leg, and metric/imperial results with explicit formulas</x:v>
      </x:c>
      <x:c r="H344" s="18" t="str">
        <x:v>growth600 · commit 8dfcc147a3</x:v>
      </x:c>
    </x:row>
    <x:row r="345" ht="48" customHeight="1">
      <x:c r="A345" s="18" t="str">
        <x:v>chemical-equation-balancer</x:v>
      </x:c>
      <x:c r="B345" s="18" t="str">
        <x:v>chemical equation balancer</x:v>
      </x:c>
      <x:c r="C345" s="18" t="str">
        <x:v>tools.usefulverse.com</x:v>
      </x:c>
      <x:c r="D345" s="18" t="str">
        <x:v>https://tools.usefulverse.com/tools/chemical-equation-balancer/</x:v>
      </x:c>
      <x:c r="E345" s="22" t="n">
        <x:v>36</x:v>
      </x:c>
      <x:c r="F345" s="18" t="str">
        <x:v>Sí</x:v>
      </x:c>
      <x:c r="G345" s="18" t="str">
        <x:v>parse neutral molecular formulas with parentheses and hydrate separators for the elements supported by the UsefulVerse molar-mass calculator; balance reactants and products with exact rational row reduction and positive integer coefficients for supported equations; disclose when multiple-solution search is bounded; show a copyable balanced equation and reject malformed, charged or ambiguous equations that exceed the bounded local solver</x:v>
      </x:c>
      <x:c r="H345" s="18" t="str">
        <x:v>growth600 · commit 8dfcc147a3</x:v>
      </x:c>
    </x:row>
    <x:row r="346" ht="48" customHeight="1">
      <x:c r="A346" s="18" t="str">
        <x:v>gear-ratio-calculator</x:v>
      </x:c>
      <x:c r="B346" s="18" t="str">
        <x:v>gear ratio calculator</x:v>
      </x:c>
      <x:c r="C346" s="18" t="str">
        <x:v>tools.usefulverse.com</x:v>
      </x:c>
      <x:c r="D346" s="18" t="str">
        <x:v>https://tools.usefulverse.com/tools/gear-ratio-calculator/</x:v>
      </x:c>
      <x:c r="E346" s="22" t="n">
        <x:v>36</x:v>
      </x:c>
      <x:c r="F346" s="18" t="str">
        <x:v>Sí</x:v>
      </x:c>
      <x:c r="G346" s="18" t="str">
        <x:v>calculate overall driven-to-driver tooth ratio across one to six compound stages for external gears or an uncrossed chain; estimate output RPM from input RPM and ideal output torque from optional input torque; apply an optional user-entered per-stage efficiency estimate and report direction assumptions for external gear meshes versus chain drives</x:v>
      </x:c>
      <x:c r="H346" s="18" t="str">
        <x:v>growth600 · commit 8dfcc147a3</x:v>
      </x:c>
    </x:row>
    <x:row r="347" ht="48" customHeight="1">
      <x:c r="A347" s="18" t="str">
        <x:v>density-calculator</x:v>
      </x:c>
      <x:c r="B347" s="18" t="str">
        <x:v>density calculator</x:v>
      </x:c>
      <x:c r="C347" s="18" t="str">
        <x:v>tools.usefulverse.com</x:v>
      </x:c>
      <x:c r="D347" s="18" t="str">
        <x:v>https://tools.usefulverse.com/tools/density-calculator/</x:v>
      </x:c>
      <x:c r="E347" s="22" t="n">
        <x:v>36</x:v>
      </x:c>
      <x:c r="F347" s="18" t="str">
        <x:v>Sí</x:v>
      </x:c>
      <x:c r="G347" s="18" t="str">
        <x:v>solve mass, volume or density when exactly two are known in kg, m³ and kg/m³; convert the result to g/cm³ and lb/ft³; estimate aggregate density for up to twelve components when their masses and volumes are supplied, explicitly assuming additive volumes</x:v>
      </x:c>
      <x:c r="H347" s="18" t="str">
        <x:v>growth600 · commit 8dfcc147a3</x:v>
      </x:c>
    </x:row>
    <x:row r="348" ht="48" customHeight="1">
      <x:c r="A348" s="18" t="str">
        <x:v>compression-ratio-calculator</x:v>
      </x:c>
      <x:c r="B348" s="18" t="str">
        <x:v>compression ratio calculator</x:v>
      </x:c>
      <x:c r="C348" s="18" t="str">
        <x:v>tools.usefulverse.com</x:v>
      </x:c>
      <x:c r="D348" s="18" t="str">
        <x:v>https://tools.usefulverse.com/tools/compression-ratio-calculator/</x:v>
      </x:c>
      <x:c r="E348" s="22" t="n">
        <x:v>36</x:v>
      </x:c>
      <x:c r="F348" s="18" t="str">
        <x:v>Sí</x:v>
      </x:c>
      <x:c r="G348" s="18" t="str">
        <x:v>calculate swept cylinder volume from bore and stroke in metric or imperial dimensions; combine chamber, head-gasket, deck and piston crown volumes to estimate clearance volume and static compression ratio; show per-cylinder and total engine displacement for one to sixteen cylinders, with explicit piston dish/dome sign convention</x:v>
      </x:c>
      <x:c r="H348" s="18" t="str">
        <x:v>growth600 · commit 8dfcc147a3</x:v>
      </x:c>
    </x:row>
    <x:row r="349" ht="48" customHeight="1">
      <x:c r="A349" s="18" t="str">
        <x:v>hebrew-calendar-converter</x:v>
      </x:c>
      <x:c r="B349" s="18" t="str">
        <x:v>hebrew calendar converter</x:v>
      </x:c>
      <x:c r="C349" s="18" t="str">
        <x:v>tools.usefulverse.com</x:v>
      </x:c>
      <x:c r="D349" s="18" t="str">
        <x:v>https://tools.usefulverse.com/tools/hebrew-calendar-converter/</x:v>
      </x:c>
      <x:c r="E349" s="22" t="n">
        <x:v>36</x:v>
      </x:c>
      <x:c r="F349" s="18" t="str">
        <x:v>Sí</x:v>
      </x:c>
      <x:c r="G349" s="18" t="str">
        <x:v>convert Gregorian civil dates to the browser’s built-in Hebrew calendar; convert valid Hebrew year/month/day values back to Gregorian civil dates; show Hebrew leap years with Adar I and Adar II as separate months; state that Hebrew calendar days begin at sunset and are not translated to local sunset times</x:v>
      </x:c>
      <x:c r="H349" s="18" t="str">
        <x:v>growth600 · commit 8dfcc147a3</x:v>
      </x:c>
    </x:row>
    <x:row r="350" ht="48" customHeight="1">
      <x:c r="A350" s="18" t="str">
        <x:v>absolute-value-calculator</x:v>
      </x:c>
      <x:c r="B350" s="18" t="str">
        <x:v>absolute value calculator</x:v>
      </x:c>
      <x:c r="C350" s="18" t="str">
        <x:v>tools.usefulverse.com</x:v>
      </x:c>
      <x:c r="D350" s="18" t="str">
        <x:v>https://tools.usefulverse.com/tools/absolute-value-calculator/</x:v>
      </x:c>
      <x:c r="E350" s="22" t="n">
        <x:v>36</x:v>
      </x:c>
      <x:c r="F350" s="18" t="str">
        <x:v>Sí</x:v>
      </x:c>
      <x:c r="G350" s="18" t="str">
        <x:v>calculate the nonnegative absolute value of a signed number; solve equations of the form |a·x + b| = c, including zero and impossible targets; solve strict and inclusive linear absolute value inequalities as points, intervals or exterior rays; show the solution set in interval notation and on a number line</x:v>
      </x:c>
      <x:c r="H350" s="18" t="str">
        <x:v>growth600 · commit 8dfcc147a3</x:v>
      </x:c>
    </x:row>
    <x:row r="351" ht="48" customHeight="1">
      <x:c r="A351" s="18" t="str">
        <x:v>chore-chart-maker</x:v>
      </x:c>
      <x:c r="B351" s="18" t="str">
        <x:v>chore chart maker</x:v>
      </x:c>
      <x:c r="C351" s="18" t="str">
        <x:v>tools.usefulverse.com</x:v>
      </x:c>
      <x:c r="D351" s="18" t="str">
        <x:v>https://tools.usefulverse.com/tools/chore-chart-maker/</x:v>
      </x:c>
      <x:c r="E351" s="22" t="n">
        <x:v>36</x:v>
      </x:c>
      <x:c r="F351" s="18" t="str">
        <x:v>Sí</x:v>
      </x:c>
      <x:c r="G351" s="18" t="str">
        <x:v>enter household members and weekly chores with optional 1–5 effort points; generate a one-to-twelve-week Monday-start schedule that rotates tasks while balancing weighted assignments; show each person’s total effort points and the schedule’s load spread; print the schedule or export a CSV without saving names or tasks online</x:v>
      </x:c>
      <x:c r="H351" s="18" t="str">
        <x:v>growth600 · commit 8dfcc147a3</x:v>
      </x:c>
    </x:row>
    <x:row r="352" ht="48" customHeight="1">
      <x:c r="A352" s="18" t="str">
        <x:v>goal-planner</x:v>
      </x:c>
      <x:c r="B352" s="18" t="str">
        <x:v>goal planner</x:v>
      </x:c>
      <x:c r="C352" s="18" t="str">
        <x:v>tools.usefulverse.com</x:v>
      </x:c>
      <x:c r="D352" s="18" t="str">
        <x:v>https://tools.usefulverse.com/tools/goal-planner/</x:v>
      </x:c>
      <x:c r="E352" s="22" t="n">
        <x:v>36</x:v>
      </x:c>
      <x:c r="F352" s="18" t="str">
        <x:v>Sí</x:v>
      </x:c>
      <x:c r="G352" s="18" t="str">
        <x:v>turn a measurable outcome into a dated plan with a baseline, target, start date and deadline; add dated milestones inside the plan window and mark each milestone complete; record dated progress measurements and calculate directional progress toward the target; save one active plan locally in the current browser and download a JSON backup</x:v>
      </x:c>
      <x:c r="H352" s="18" t="str">
        <x:v>growth600 · commit 8dfcc147a3</x:v>
      </x:c>
    </x:row>
    <x:row r="353" ht="48" customHeight="1">
      <x:c r="A353" s="18" t="str">
        <x:v>mind-map-maker</x:v>
      </x:c>
      <x:c r="B353" s="18" t="str">
        <x:v>mind map maker</x:v>
      </x:c>
      <x:c r="C353" s="18" t="str">
        <x:v>tools.usefulverse.com</x:v>
      </x:c>
      <x:c r="D353" s="18" t="str">
        <x:v>https://tools.usefulverse.com/tools/mind-map-maker/</x:v>
      </x:c>
      <x:c r="E353" s="22" t="n">
        <x:v>36</x:v>
      </x:c>
      <x:c r="F353" s="18" t="str">
        <x:v>Sí</x:v>
      </x:c>
      <x:c r="G353" s="18" t="str">
        <x:v>build a branching idea tree from one central topic; edit, add, remove, move and reorder nodes; collapse branches and undo or redo up to 30 recent edits; export the full map as SVG or a portable JSON backup</x:v>
      </x:c>
      <x:c r="H353" s="18" t="str">
        <x:v>growth600 · commit 8dfcc147a3</x:v>
      </x:c>
    </x:row>
    <x:row r="354" ht="48" customHeight="1">
      <x:c r="A354" s="18" t="str">
        <x:v>mood-tracker</x:v>
      </x:c>
      <x:c r="B354" s="18" t="str">
        <x:v>mood tracker</x:v>
      </x:c>
      <x:c r="C354" s="18" t="str">
        <x:v>tools.usefulverse.com</x:v>
      </x:c>
      <x:c r="D354" s="18" t="str">
        <x:v>https://tools.usefulverse.com/tools/mood-tracker/</x:v>
      </x:c>
      <x:c r="E354" s="22" t="n">
        <x:v>36</x:v>
      </x:c>
      <x:c r="F354" s="18" t="str">
        <x:v>Sí</x:v>
      </x:c>
      <x:c r="G354" s="18" t="str">
        <x:v>record one self-rated 1–5 mood check-in per calendar day with optional emotion tags and a private note; browse check-ins in an accessible month calendar and edit or delete a day; summarize recorded values using a non-clinical weekly average and mood distribution without interpreting mental health; save only after explicit per-session consent, export a JSON backup and validate/import it locally</x:v>
      </x:c>
      <x:c r="H354" s="18" t="str">
        <x:v>growth600 · commit 8dfcc147a3</x:v>
      </x:c>
    </x:row>
    <x:row r="355" ht="48" customHeight="1">
      <x:c r="A355" s="18" t="str">
        <x:v>journal-online</x:v>
      </x:c>
      <x:c r="B355" s="18" t="str">
        <x:v>journal online</x:v>
      </x:c>
      <x:c r="C355" s="18" t="str">
        <x:v>tools.usefulverse.com</x:v>
      </x:c>
      <x:c r="D355" s="18" t="str">
        <x:v>https://tools.usefulverse.com/tools/journal-online/</x:v>
      </x:c>
      <x:c r="E355" s="22" t="n">
        <x:v>36</x:v>
      </x:c>
      <x:c r="F355" s="18" t="str">
        <x:v>Sí</x:v>
      </x:c>
      <x:c r="G355" s="18" t="str">
        <x:v>write multiple dated journal entries with titles and optional tags; search entry titles, body text and tags and filter by a date range entirely in this browser; optionally save entries in this browser with a clear warning that browser storage is not a secure vault; export/import a validated portable JSON backup, or optionally encrypt a backup with the browser Web Crypto API and a user-held passphrase</x:v>
      </x:c>
      <x:c r="H355" s="18" t="str">
        <x:v>growth600 · commit 8dfcc147a3</x:v>
      </x:c>
    </x:row>
    <x:row r="356" ht="48" customHeight="1">
      <x:c r="A356" s="18" t="str">
        <x:v>travel-itinerary-planner</x:v>
      </x:c>
      <x:c r="B356" s="18" t="str">
        <x:v>travel itinerary planner</x:v>
      </x:c>
      <x:c r="C356" s="18" t="str">
        <x:v>tools.usefulverse.com</x:v>
      </x:c>
      <x:c r="D356" s="18" t="str">
        <x:v>https://tools.usefulverse.com/tools/travel-itinerary-planner/</x:v>
      </x:c>
      <x:c r="E356" s="22" t="n">
        <x:v>36</x:v>
      </x:c>
      <x:c r="F356" s="18" t="str">
        <x:v>Sí</x:v>
      </x:c>
      <x:c r="G356" s="18" t="str">
        <x:v>create a dated multi-day trip and manually schedule activities, meals, transport, stays and reservations; store each stop’s local wall-clock date and time, place, booking reference and notes; edit or delete by stable ID; flag actual same-day time overlaps and separately warn when consecutive stops leave less than the user-selected connection buffer; export calendar events as an ICS file, export/import a validated JSON backup, or use the browser print dialog</x:v>
      </x:c>
      <x:c r="H356" s="18" t="str">
        <x:v>growth600 · commit 8dfcc147a3</x:v>
      </x:c>
    </x:row>
    <x:row r="357" ht="48" customHeight="1">
      <x:c r="A357" s="18" t="str">
        <x:v>polynomial-long-division-calculator</x:v>
      </x:c>
      <x:c r="B357" s="18" t="str">
        <x:v>polynomial long division calculator</x:v>
      </x:c>
      <x:c r="C357" s="18" t="str">
        <x:v>tools.usefulverse.com</x:v>
      </x:c>
      <x:c r="D357" s="18" t="str">
        <x:v>https://tools.usefulverse.com/tools/polynomial-long-division-calculator/</x:v>
      </x:c>
      <x:c r="E357" s="22" t="n">
        <x:v>36</x:v>
      </x:c>
      <x:c r="F357" s="18" t="str">
        <x:v>Sí</x:v>
      </x:c>
      <x:c r="G357" s="18" t="str">
        <x:v>parse bounded integer-coefficient polynomial expressions in x up to degree 20; show exact quotient and remainder using reduced integer fractions; show each quotient term, subtraction and new remainder in long-division order; copy a worked result and load the x² − 1 divided by x − 1 example</x:v>
      </x:c>
      <x:c r="H357" s="18" t="str">
        <x:v>growth600 · commit 8dfcc147a3</x:v>
      </x:c>
    </x:row>
    <x:row r="358" ht="48" customHeight="1">
      <x:c r="A358" s="18" t="str">
        <x:v>half-life-calculator</x:v>
      </x:c>
      <x:c r="B358" s="18" t="str">
        <x:v>half life calculator</x:v>
      </x:c>
      <x:c r="C358" s="18" t="str">
        <x:v>tools.usefulverse.com</x:v>
      </x:c>
      <x:c r="D358" s="18" t="str">
        <x:v>https://tools.usefulverse.com/tools/half-life-calculator/</x:v>
      </x:c>
      <x:c r="E358" s="22" t="n">
        <x:v>36</x:v>
      </x:c>
      <x:c r="F358" s="18" t="str">
        <x:v>Sí</x:v>
      </x:c>
      <x:c r="G358" s="18" t="str">
        <x:v>solve for initial amount, remaining amount, elapsed time or half-life from the other three values; show percent remaining and elapsed half-lives; use a selected shared time unit and an example that halves 100 to 50 after one half-life</x:v>
      </x:c>
      <x:c r="H358" s="18" t="str">
        <x:v>growth600 · commit 8dfcc147a3</x:v>
      </x:c>
    </x:row>
    <x:row r="359" ht="48" customHeight="1">
      <x:c r="A359" s="18" t="str">
        <x:v>mortgage-points-calculator</x:v>
      </x:c>
      <x:c r="B359" s="18" t="str">
        <x:v>mortgage points calculator</x:v>
      </x:c>
      <x:c r="C359" s="18" t="str">
        <x:v>tools.usefulverse.com</x:v>
      </x:c>
      <x:c r="D359" s="18" t="str">
        <x:v>https://tools.usefulverse.com/tools/mortgage-points-calculator/</x:v>
      </x:c>
      <x:c r="E359" s="22" t="n">
        <x:v>36</x:v>
      </x:c>
      <x:c r="F359" s="18" t="str">
        <x:v>Sí</x:v>
      </x:c>
      <x:c r="G359" s="18" t="str">
        <x:v>compare two lender-quoted rates for the same principal and term; model points as a cash upfront cost equal to a user-entered percentage of principal; calculate monthly payments, full-term interest, payoff horizon balances and net benefit; show payment-only and balance-inclusive break-even months separately</x:v>
      </x:c>
      <x:c r="H359" s="18" t="str">
        <x:v>growth600 · commit 8dfcc147a3</x:v>
      </x:c>
    </x:row>
    <x:row r="360" ht="48" customHeight="1">
      <x:c r="A360" s="18" t="str">
        <x:v>trapezoid-calculator</x:v>
      </x:c>
      <x:c r="B360" s="18" t="str">
        <x:v>trapezoid area calculator</x:v>
      </x:c>
      <x:c r="C360" s="18" t="str">
        <x:v>tools.usefulverse.com</x:v>
      </x:c>
      <x:c r="D360" s="18" t="str">
        <x:v>https://tools.usefulverse.com/tools/trapezoid-calculator/</x:v>
      </x:c>
      <x:c r="E360" s="22" t="n">
        <x:v>36</x:v>
      </x:c>
      <x:c r="F360" s="18" t="str">
        <x:v>Sí</x:v>
      </x:c>
      <x:c r="G360" s="18" t="str">
        <x:v>calculate area from two parallel bases and perpendicular height; derive both side lengths and perimeter from the top-base horizontal offset; show a responsive geometric sketch and keep every length in one selected unit</x:v>
      </x:c>
      <x:c r="H360" s="18" t="str">
        <x:v>growth600 · commit 8dfcc147a3</x:v>
      </x:c>
    </x:row>
    <x:row r="361" ht="48" customHeight="1">
      <x:c r="A361" s="18" t="str">
        <x:v>prayer-times-calculator</x:v>
      </x:c>
      <x:c r="B361" s="18" t="str">
        <x:v>prayer time calculator</x:v>
      </x:c>
      <x:c r="C361" s="18" t="str">
        <x:v>tools.usefulverse.com</x:v>
      </x:c>
      <x:c r="D361" s="18" t="str">
        <x:v>https://tools.usefulverse.com/tools/prayer-times-calculator/</x:v>
      </x:c>
      <x:c r="E361" s="22" t="n">
        <x:v>36</x:v>
      </x:c>
      <x:c r="F361" s="18" t="str">
        <x:v>Sí</x:v>
      </x:c>
      <x:c r="G361" s="18" t="str">
        <x:v>calculate Fajr, sunrise, Dhuhr, Asr, sunset, Maghrib and Isha locally from a Gregorian date, manually entered coordinates and an explicit UTC offset; select a published angle-based method, standard or Hanafi Asr, optional Makkah Ramadan Isha interval, and an explicit higher-latitude adjustment; report unavailable polar sunrise/sunset honestly and apply high-latitude twilight fallback only when the selected method requires it; show the selected assumptions and copy the resulting local-clock schedule</x:v>
      </x:c>
      <x:c r="H361" s="18" t="str">
        <x:v>growth600 · commit 8dfcc147a3</x:v>
      </x:c>
    </x:row>
    <x:row r="362" ht="48" customHeight="1">
      <x:c r="A362" s="18" t="str">
        <x:v>miter-angle-calculator</x:v>
      </x:c>
      <x:c r="B362" s="18" t="str">
        <x:v>miter angle calculator</x:v>
      </x:c>
      <x:c r="C362" s="18" t="str">
        <x:v>tools.usefulverse.com</x:v>
      </x:c>
      <x:c r="D362" s="18" t="str">
        <x:v>https://tools.usefulverse.com/tools/miter-angle-calculator/</x:v>
      </x:c>
      <x:c r="E362" s="22" t="n">
        <x:v>36</x:v>
      </x:c>
      <x:c r="F362" s="18" t="str">
        <x:v>Sí</x:v>
      </x:c>
      <x:c r="G362" s="18" t="str">
        <x:v>calculate a symmetric simple miter from an inside corner angle; calculate compound miter and bevel magnitudes for flat crown molding using an explicit spring-angle convention; show an accessible angle diagram, worked example, copyable settings and limits</x:v>
      </x:c>
      <x:c r="H362" s="18" t="str">
        <x:v>growth600 · commit 8dfcc147a3</x:v>
      </x:c>
    </x:row>
    <x:row r="363" ht="48" customHeight="1">
      <x:c r="A363" s="18" t="str">
        <x:v>voltage-drop-calculator</x:v>
      </x:c>
      <x:c r="B363" s="18" t="str">
        <x:v>voltage drop calculator</x:v>
      </x:c>
      <x:c r="C363" s="18" t="str">
        <x:v>tools.usefulverse.com</x:v>
      </x:c>
      <x:c r="D363" s="18" t="str">
        <x:v>https://tools.usefulverse.com/tools/voltage-drop-calculator/</x:v>
      </x:c>
      <x:c r="E363" s="22" t="n">
        <x:v>36</x:v>
      </x:c>
      <x:c r="F363" s="18" t="str">
        <x:v>Sí</x:v>
      </x:c>
      <x:c r="G363" s="18" t="str">
        <x:v>estimate resistive voltage drop for copper or aluminum conductors from one-way length, current, cross-sectional area and supply voltage; support DC two-conductor, single-phase AC and balanced three-phase AC modes with optional power factor; show volts, percentage, estimated load voltage and explicit calculation assumptions</x:v>
      </x:c>
      <x:c r="H363" s="18" t="str">
        <x:v>growth600 · commit 8dfcc147a3</x:v>
      </x:c>
    </x:row>
    <x:row r="364" ht="48" customHeight="1">
      <x:c r="A364" s="18" t="str">
        <x:v>deck-calculator</x:v>
      </x:c>
      <x:c r="B364" s="18" t="str">
        <x:v>deck calculator</x:v>
      </x:c>
      <x:c r="C364" s="18" t="str">
        <x:v>tools.usefulverse.com</x:v>
      </x:c>
      <x:c r="D364" s="18" t="str">
        <x:v>https://tools.usefulverse.com/tools/deck-calculator/</x:v>
      </x:c>
      <x:c r="E364" s="22" t="n">
        <x:v>36</x:v>
      </x:c>
      <x:c r="F364" s="18" t="str">
        <x:v>Sí</x:v>
      </x:c>
      <x:c r="G364" s="18" t="str">
        <x:v>rectangular deck area in metric or imperial units; board rows from actual board width and gap; stock board count with a user-entered waste allowance and material price; support-line and simplified fastener estimate from user-entered spacing; approximate butt-joint count when stock boards are shorter than the deck run</x:v>
      </x:c>
      <x:c r="H364" s="18" t="str">
        <x:v>growth600 · commit 8dfcc147a3</x:v>
      </x:c>
    </x:row>
    <x:row r="365" ht="48" customHeight="1">
      <x:c r="A365" s="18" t="str">
        <x:v>roofing-calculator</x:v>
      </x:c>
      <x:c r="B365" s="18" t="str">
        <x:v>roofing calculator</x:v>
      </x:c>
      <x:c r="C365" s="18" t="str">
        <x:v>tools.usefulverse.com</x:v>
      </x:c>
      <x:c r="D365" s="18" t="str">
        <x:v>https://tools.usefulverse.com/tools/roofing-calculator/</x:v>
      </x:c>
      <x:c r="E365" s="22" t="n">
        <x:v>36</x:v>
      </x:c>
      <x:c r="F365" s="18" t="str">
        <x:v>Sí</x:v>
      </x:c>
      <x:c r="G365" s="18" t="str">
        <x:v>convert horizontal projected roof area to sloped roof area using rise and run; optional material allowance for cuts and waste; roofing squares and whole shingle bundles from a user-selected bundles-per-square rate; optional cost from a user-entered bundle price</x:v>
      </x:c>
      <x:c r="H365" s="18" t="str">
        <x:v>growth600 · commit 8dfcc147a3</x:v>
      </x:c>
    </x:row>
    <x:row r="366" ht="48" customHeight="1">
      <x:c r="A366" s="18" t="str">
        <x:v>drywall-calculator</x:v>
      </x:c>
      <x:c r="B366" s="18" t="str">
        <x:v>drywall calculator</x:v>
      </x:c>
      <x:c r="C366" s="18" t="str">
        <x:v>tools.usefulverse.com</x:v>
      </x:c>
      <x:c r="D366" s="18" t="str">
        <x:v>https://tools.usefulverse.com/tools/drywall-calculator/</x:v>
      </x:c>
      <x:c r="E366" s="22" t="n">
        <x:v>36</x:v>
      </x:c>
      <x:c r="F366" s="18" t="str">
        <x:v>Sí</x:v>
      </x:c>
      <x:c r="G366" s="18" t="str">
        <x:v>wall and optional ceiling area for repeated rectangular rooms; deduct a user-entered opening area per room; custom sheet dimensions and extra-material allowance; whole-sheet count, approximate joint-seam length, screw estimate and optional sheet budget</x:v>
      </x:c>
      <x:c r="H366" s="18" t="str">
        <x:v>growth600 · commit 8dfcc147a3</x:v>
      </x:c>
    </x:row>
    <x:row r="367" ht="48" customHeight="1">
      <x:c r="A367" s="18" t="str">
        <x:v>roof-pitch-calculator</x:v>
      </x:c>
      <x:c r="B367" s="18" t="str">
        <x:v>roof pitch calculator</x:v>
      </x:c>
      <x:c r="C367" s="18" t="str">
        <x:v>tools.usefulverse.com</x:v>
      </x:c>
      <x:c r="D367" s="18" t="str">
        <x:v>https://tools.usefulverse.com/tools/roof-pitch-calculator/</x:v>
      </x:c>
      <x:c r="E367" s="22" t="n">
        <x:v>36</x:v>
      </x:c>
      <x:c r="F367" s="18" t="str">
        <x:v>Sí</x:v>
      </x:c>
      <x:c r="G367" s="18" t="str">
        <x:v>rise and horizontal run in metric or imperial units; pitch as rise per 12, slope percent, angle in degrees and radians; rafter length with optional horizontal eave overhang</x:v>
      </x:c>
      <x:c r="H367" s="18" t="str">
        <x:v>growth600 · commit 8dfcc147a3</x:v>
      </x:c>
    </x:row>
    <x:row r="368" ht="48" customHeight="1">
      <x:c r="A368" s="18" t="str">
        <x:v>pool-volume-calculator</x:v>
      </x:c>
      <x:c r="B368" s="18" t="str">
        <x:v>pool volume calculator</x:v>
      </x:c>
      <x:c r="C368" s="18" t="str">
        <x:v>tools.usefulverse.com</x:v>
      </x:c>
      <x:c r="D368" s="18" t="str">
        <x:v>https://tools.usefulverse.com/tools/pool-volume-calculator/</x:v>
      </x:c>
      <x:c r="E368" s="22" t="n">
        <x:v>36</x:v>
      </x:c>
      <x:c r="F368" s="18" t="str">
        <x:v>Sí</x:v>
      </x:c>
      <x:c r="G368" s="18" t="str">
        <x:v>rectangular, round and oval pool footprints; flat or sloped floor using shallow and deep measurements; cubic metres, litres, US gallons and imperial gallons</x:v>
      </x:c>
      <x:c r="H368" s="18" t="str">
        <x:v>growth600 · commit 8dfcc147a3</x:v>
      </x:c>
    </x:row>
    <x:row r="369" ht="48" customHeight="1">
      <x:c r="A369" s="18" t="str">
        <x:v>soil-calculator</x:v>
      </x:c>
      <x:c r="B369" s="18" t="str">
        <x:v>soil calculator</x:v>
      </x:c>
      <x:c r="C369" s="18" t="str">
        <x:v>tools.usefulverse.com</x:v>
      </x:c>
      <x:c r="D369" s="18" t="str">
        <x:v>https://tools.usefulverse.com/tools/soil-calculator/</x:v>
      </x:c>
      <x:c r="E369" s="22" t="n">
        <x:v>36</x:v>
      </x:c>
      <x:c r="F369" s="18" t="str">
        <x:v>Sí</x:v>
      </x:c>
      <x:c r="G369" s="18" t="str">
        <x:v>soil volume for rectangular raised beds and round pots; repeat the same container dimensions by quantity; optional extra-material allowance and bag count from bag volume; metric and imperial dimensions with litre or cubic-foot bags</x:v>
      </x:c>
      <x:c r="H369" s="18" t="str">
        <x:v>growth600 · commit 8dfcc147a3</x:v>
      </x:c>
    </x:row>
    <x:row r="370" ht="48" customHeight="1">
      <x:c r="A370" s="18" t="str">
        <x:v>asphalt-calculator</x:v>
      </x:c>
      <x:c r="B370" s="18" t="str">
        <x:v>asphalt calculator</x:v>
      </x:c>
      <x:c r="C370" s="18" t="str">
        <x:v>tools.usefulverse.com</x:v>
      </x:c>
      <x:c r="D370" s="18" t="str">
        <x:v>https://tools.usefulverse.com/tools/asphalt-calculator/</x:v>
      </x:c>
      <x:c r="E370" s="22" t="n">
        <x:v>36</x:v>
      </x:c>
      <x:c r="F370" s="18" t="str">
        <x:v>Sí</x:v>
      </x:c>
      <x:c r="G370" s="18" t="str">
        <x:v>paved area and compacted layer thickness with metric or imperial inputs; editable asphalt mix density with clear estimate caveat; compacted volume and order volume with optional extra material; metric tonnes and US short tons; optional material cost from user-entered price per metric tonne</x:v>
      </x:c>
      <x:c r="H370" s="18" t="str">
        <x:v>growth600 · commit 8dfcc147a3</x:v>
      </x:c>
    </x:row>
    <x:row r="371" ht="48" customHeight="1">
      <x:c r="A371" s="18" t="str">
        <x:v>stair-calculator</x:v>
      </x:c>
      <x:c r="B371" s="18" t="str">
        <x:v>stair calculator</x:v>
      </x:c>
      <x:c r="C371" s="18" t="str">
        <x:v>tools.usefulverse.com</x:v>
      </x:c>
      <x:c r="D371" s="18" t="str">
        <x:v>https://tools.usefulverse.com/tools/stair-calculator/</x:v>
      </x:c>
      <x:c r="E371" s="22" t="n">
        <x:v>36</x:v>
      </x:c>
      <x:c r="F371" s="18" t="str">
        <x:v>Sí</x:v>
      </x:c>
      <x:c r="G371" s="18" t="str">
        <x:v>total rise and user-selected riser count; riser height, tread count, total run, pitch angle and stringer length; scaled side-profile SVG drawing; metric and imperial units</x:v>
      </x:c>
      <x:c r="H371" s="18" t="str">
        <x:v>growth600 · commit 8dfcc147a3</x:v>
      </x:c>
    </x:row>
    <x:row r="372" ht="48" customHeight="1">
      <x:c r="A372" s="18" t="str">
        <x:v>tire-size-calculator</x:v>
      </x:c>
      <x:c r="B372" s="18" t="str">
        <x:v>tire size calculator</x:v>
      </x:c>
      <x:c r="C372" s="18" t="str">
        <x:v>tools.usefulverse.com</x:v>
      </x:c>
      <x:c r="D372" s="18" t="str">
        <x:v>https://tools.usefulverse.com/tools/tire-size-calculator/</x:v>
      </x:c>
      <x:c r="E372" s="22" t="n">
        <x:v>36</x:v>
      </x:c>
      <x:c r="F372" s="18" t="str">
        <x:v>Sí</x:v>
      </x:c>
      <x:c r="G372" s="18" t="str">
        <x:v>parse metric tire sizes such as 205/55R16; nominal sidewall height, outer diameter, circumference and revolutions per distance; compare diameter and estimated speedometer difference; show ground-clearance change from nominal diameter difference</x:v>
      </x:c>
      <x:c r="H372" s="18" t="str">
        <x:v>growth600 · commit 8dfcc147a3</x:v>
      </x:c>
    </x:row>
    <x:row r="373" ht="48" customHeight="1">
      <x:c r="A373" s="18" t="str">
        <x:v>gravel-calculator</x:v>
      </x:c>
      <x:c r="B373" s="18" t="str">
        <x:v>gravel calculator</x:v>
      </x:c>
      <x:c r="C373" s="18" t="str">
        <x:v>tools.usefulverse.com</x:v>
      </x:c>
      <x:c r="D373" s="18" t="str">
        <x:v>https://tools.usefulverse.com/tools/gravel-calculator/</x:v>
      </x:c>
      <x:c r="E373" s="22" t="n">
        <x:v>36</x:v>
      </x:c>
      <x:c r="F373" s="18" t="str">
        <x:v>Sí</x:v>
      </x:c>
      <x:c r="G373" s="18" t="str">
        <x:v>area by rectangle, circle or triangle; volume from area and depth; optional waste allowance; optional density-to-weight estimate; optional bag count rounded up</x:v>
      </x:c>
      <x:c r="H373" s="18" t="str">
        <x:v>growth600 · commit 8dfcc147a3</x:v>
      </x:c>
    </x:row>
    <x:row r="374" ht="48" customHeight="1">
      <x:c r="A374" s="18" t="str">
        <x:v>molar-mass-calculator</x:v>
      </x:c>
      <x:c r="B374" s="18" t="str">
        <x:v>molecular weight calculator</x:v>
      </x:c>
      <x:c r="C374" s="18" t="str">
        <x:v>tools.usefulverse.com</x:v>
      </x:c>
      <x:c r="D374" s="18" t="str">
        <x:v>https://tools.usefulverse.com/tools/molar-mass-calculator/</x:v>
      </x:c>
      <x:c r="E374" s="22" t="n">
        <x:v>36</x:v>
      </x:c>
      <x:c r="F374" s="18" t="str">
        <x:v>Sí</x:v>
      </x:c>
      <x:c r="G374" s="18" t="str">
        <x:v>parse element symbols and integer counts; nested parentheses; hydrate separators and coefficients; explicitly supported isotope masses; clear errors for unsupported elements or notation</x:v>
      </x:c>
      <x:c r="H374" s="18" t="str">
        <x:v>growth600 · commit 8dfcc147a3</x:v>
      </x:c>
    </x:row>
    <x:row r="375" ht="48" customHeight="1">
      <x:c r="A375" s="18" t="str">
        <x:v>auto-loan-refinance-calculator</x:v>
      </x:c>
      <x:c r="B375" s="18" t="str">
        <x:v>auto loan refinance calculator</x:v>
      </x:c>
      <x:c r="C375" s="18" t="str">
        <x:v>tools.usefulverse.com</x:v>
      </x:c>
      <x:c r="D375" s="18" t="str">
        <x:v>https://tools.usefulverse.com/tools/auto-loan-refinance-calculator/</x:v>
      </x:c>
      <x:c r="E375" s="22" t="n">
        <x:v>36</x:v>
      </x:c>
      <x:c r="F375" s="18" t="str">
        <x:v>Sí</x:v>
      </x:c>
      <x:c r="G375" s="18" t="str">
        <x:v>remaining payoff balance and term; current versus new APR and term; upfront or financed fees; monthly payment and total-cost comparison; cumulative monthly break-even estimate</x:v>
      </x:c>
      <x:c r="H375" s="18" t="str">
        <x:v>growth600 · commit 8dfcc147a3</x:v>
      </x:c>
    </x:row>
    <x:row r="376" ht="48" customHeight="1">
      <x:c r="A376" s="18" t="str">
        <x:v>heloc-calculator</x:v>
      </x:c>
      <x:c r="B376" s="18" t="str">
        <x:v>heloc calculator</x:v>
      </x:c>
      <x:c r="C376" s="18" t="str">
        <x:v>tools.usefulverse.com</x:v>
      </x:c>
      <x:c r="D376" s="18" t="str">
        <x:v>https://tools.usefulverse.com/tools/heloc-calculator/</x:v>
      </x:c>
      <x:c r="E376" s="22" t="n">
        <x:v>36</x:v>
      </x:c>
      <x:c r="F376" s="18" t="str">
        <x:v>Sí</x:v>
      </x:c>
      <x:c r="G376" s="18" t="str">
        <x:v>enter a line limit, current drawn balance, APR and editable draw/repayment terms; estimate constant-balance interest-only payments during the draw period; estimate a fixed monthly principal-and-interest payment after the draw period; show available credit, phase interest and total modeled interest with a selectable currency display</x:v>
      </x:c>
      <x:c r="H376" s="18" t="str">
        <x:v>growth600 · commit 8dfcc147a3</x:v>
      </x:c>
    </x:row>
    <x:row r="377" ht="48" customHeight="1">
      <x:c r="A377" s="18" t="str">
        <x:v>secret-santa-generator</x:v>
      </x:c>
      <x:c r="B377" s="18" t="str">
        <x:v>secret santa generator</x:v>
      </x:c>
      <x:c r="C377" s="18" t="str">
        <x:v>tools.usefulverse.com</x:v>
      </x:c>
      <x:c r="D377" s="18" t="str">
        <x:v>https://tools.usefulverse.com/tools/secret-santa-generator/</x:v>
      </x:c>
      <x:c r="E377" s="22" t="n">
        <x:v>36</x:v>
      </x:c>
      <x:c r="F377" s="18" t="str">
        <x:v>Sí</x:v>
      </x:c>
      <x:c r="G377" s="18" t="str">
        <x:v>unique participant list; no self-assignment; pair-specific exclusions; detect impossible constraints; reveal one result at a time on this device; deliberate copy/download only</x:v>
      </x:c>
      <x:c r="H377" s="18" t="str">
        <x:v>growth600 · commit 8dfcc147a3</x:v>
      </x:c>
    </x:row>
    <x:row r="378" ht="48" customHeight="1">
      <x:c r="A378" s="18" t="str">
        <x:v>mancala</x:v>
      </x:c>
      <x:c r="B378" s="18" t="str">
        <x:v>mancala game</x:v>
      </x:c>
      <x:c r="C378" s="18" t="str">
        <x:v>tools.usefulverse.com</x:v>
      </x:c>
      <x:c r="D378" s="18" t="str">
        <x:v>https://tools.usefulverse.com/tools/mancala/</x:v>
      </x:c>
      <x:c r="E378" s="22" t="n">
        <x:v>36</x:v>
      </x:c>
      <x:c r="F378" s="18" t="str">
        <x:v>Sí</x:v>
      </x:c>
      <x:c r="G378" s="18" t="str">
        <x:v>standard six-pit Kalah board; seed sowing and opponent-store skip; capture and extra-turn rules; end-of-game collection and score; local single-device play and a lightweight local opponent</x:v>
      </x:c>
      <x:c r="H378" s="18" t="str">
        <x:v>growth600 · commit 8dfcc147a3</x:v>
      </x:c>
    </x:row>
    <x:row r="379" ht="48" customHeight="1">
      <x:c r="A379" s="18" t="str">
        <x:v>dominoes-game</x:v>
      </x:c>
      <x:c r="B379" s="18" t="str">
        <x:v>dominoes game</x:v>
      </x:c>
      <x:c r="C379" s="18" t="str">
        <x:v>tools.usefulverse.com</x:v>
      </x:c>
      <x:c r="D379" s="18" t="str">
        <x:v>https://tools.usefulverse.com/tools/dominoes-game/</x:v>
      </x:c>
      <x:c r="E379" s="22" t="n">
        <x:v>36</x:v>
      </x:c>
      <x:c r="F379" s="18" t="str">
        <x:v>Sí</x:v>
      </x:c>
      <x:c r="G379" s="18" t="str">
        <x:v>play a double-six game locally against a simple computer or with a second person on one device; choose draw or block rules; place tiles on either matching end with correct orientation; draw or pass when no move is available; finish on an empty hand or blocked board and compare remaining pips</x:v>
      </x:c>
      <x:c r="H379" s="18" t="str">
        <x:v>growth600 · commit 8dfcc147a3</x:v>
      </x:c>
    </x:row>
    <x:row r="380" ht="48" customHeight="1">
      <x:c r="A380" s="18" t="str">
        <x:v>hitori</x:v>
      </x:c>
      <x:c r="B380" s="18" t="str">
        <x:v>hitori puzzle</x:v>
      </x:c>
      <x:c r="C380" s="18" t="str">
        <x:v>tools.usefulverse.com</x:v>
      </x:c>
      <x:c r="D380" s="18" t="str">
        <x:v>https://tools.usefulverse.com/tools/hitori/</x:v>
      </x:c>
      <x:c r="E380" s="22" t="n">
        <x:v>36</x:v>
      </x:c>
      <x:c r="F380" s="18" t="str">
        <x:v>Sí</x:v>
      </x:c>
      <x:c r="G380" s="18" t="str">
        <x:v>generate a fresh, uniquely solvable 5×5 to 8×8 number grid at three difficulty settings; mark cells black while keeping black cells apart and all remaining white cells connected; check the live board against every Hitori rule; request a one-cell hint without revealing the full answer; start over with another local puzzle</x:v>
      </x:c>
      <x:c r="H380" s="18" t="str">
        <x:v>growth600 · commit 8dfcc147a3</x:v>
      </x:c>
    </x:row>
    <x:row r="381" ht="48" customHeight="1">
      <x:c r="A381" s="18" t="str">
        <x:v>nurikabe</x:v>
      </x:c>
      <x:c r="B381" s="18" t="str">
        <x:v>nurikabe puzzle</x:v>
      </x:c>
      <x:c r="C381" s="18" t="str">
        <x:v>tools.usefulverse.com</x:v>
      </x:c>
      <x:c r="D381" s="18" t="str">
        <x:v>https://tools.usefulverse.com/tools/nurikabe/</x:v>
      </x:c>
      <x:c r="E381" s="22" t="n">
        <x:v>36</x:v>
      </x:c>
      <x:c r="F381" s="18" t="str">
        <x:v>Sí</x:v>
      </x:c>
      <x:c r="G381" s="18" t="str">
        <x:v>generate locally checked 5×5 island-and-sea puzzles at three difficulty levels; mark sea cells while numbered clues define exact island sizes; check sea connectivity, forbidden 2×2 sea squares and every island boundary and size; request a one-cell hint without exposing the complete solution; start a newly randomized puzzle without an account or saved history</x:v>
      </x:c>
      <x:c r="H381" s="18" t="str">
        <x:v>growth600 · commit 8dfcc147a3</x:v>
      </x:c>
    </x:row>
    <x:row r="382" ht="48" customHeight="1">
      <x:c r="A382" s="18" t="str">
        <x:v>slitherlink</x:v>
      </x:c>
      <x:c r="B382" s="18" t="str">
        <x:v>slitherlink</x:v>
      </x:c>
      <x:c r="C382" s="18" t="str">
        <x:v>tools.usefulverse.com</x:v>
      </x:c>
      <x:c r="D382" s="18" t="str">
        <x:v>https://tools.usefulverse.com/tools/slitherlink/</x:v>
      </x:c>
      <x:c r="E382" s="22" t="n">
        <x:v>36</x:v>
      </x:c>
      <x:c r="F382" s="18" t="str">
        <x:v>Sí</x:v>
      </x:c>
      <x:c r="G382" s="18" t="str">
        <x:v>generate a fresh, locally checked 4×4 to 6×6 number-and-loop puzzle; toggle horizontal and vertical line segments on a responsive accessible grid; check cell clues, vertex degrees and that the drawn segments form exactly one loop; undo the last move, clear all marks and request a single-segment hint; start a different randomized puzzle without an account, upload or saved score</x:v>
      </x:c>
      <x:c r="H382" s="18" t="str">
        <x:v>growth600 · commit 8dfcc147a3</x:v>
      </x:c>
    </x:row>
    <x:row r="383" ht="48" customHeight="1">
      <x:c r="A383" s="18" t="str">
        <x:v>peg-solitaire</x:v>
      </x:c>
      <x:c r="B383" s="18" t="str">
        <x:v>peg solitaire</x:v>
      </x:c>
      <x:c r="C383" s="18" t="str">
        <x:v>tools.usefulverse.com</x:v>
      </x:c>
      <x:c r="D383" s="18" t="str">
        <x:v>https://tools.usefulverse.com/tools/peg-solitaire/</x:v>
      </x:c>
      <x:c r="E383" s="22" t="n">
        <x:v>36</x:v>
      </x:c>
      <x:c r="F383" s="18" t="str">
        <x:v>Sí</x:v>
      </x:c>
      <x:c r="G383" s="18" t="str">
        <x:v>classic 33-hole English cross board with its center hole empty; select a peg and an empty destination to make a legal horizontal or vertical jump; remove the jumped peg and count the remaining pegs; undo the previous jump, request a highlighted legal-move hint and restart; announce a win at one remaining peg or a loss when no legal jumps remain</x:v>
      </x:c>
      <x:c r="H383" s="18" t="str">
        <x:v>growth600 · commit 8dfcc147a3</x:v>
      </x:c>
    </x:row>
    <x:row r="384" ht="48" customHeight="1">
      <x:c r="A384" s="18" t="str">
        <x:v>pyramid-solitaire</x:v>
      </x:c>
      <x:c r="B384" s="18" t="str">
        <x:v>pyramid solitaire</x:v>
      </x:c>
      <x:c r="C384" s="18" t="str">
        <x:v>tools.usefulverse.com</x:v>
      </x:c>
      <x:c r="D384" s="18" t="str">
        <x:v>https://tools.usefulverse.com/tools/pyramid-solitaire/</x:v>
      </x:c>
      <x:c r="E384" s="22" t="n">
        <x:v>36</x:v>
      </x:c>
      <x:c r="F384" s="18" t="str">
        <x:v>Sí</x:v>
      </x:c>
      <x:c r="G384" s="18" t="str">
        <x:v>deal a fresh, shuffled standard 52-card deck into a seven-row pyramid and a 24-card stock; remove a king alone or pair exposed pyramid cards with a total value of 13; the top waste card can pair with one exposed pyramid card; draw from stock and choose no recycle, one recycle or unlimited waste recycling before starting a deal; undo moves, request a legal-move hint, restart the current deal and start a new shuffle; run locally without account, network calls, saved history, score claims or a promise that a random deal is solvable</x:v>
      </x:c>
      <x:c r="H384" s="18" t="str">
        <x:v>growth600 · commit 8dfcc147a3</x:v>
      </x:c>
    </x:row>
    <x:row r="385" ht="48" customHeight="1">
      <x:c r="A385" s="18" t="str">
        <x:v>rebus-puzzles</x:v>
      </x:c>
      <x:c r="B385" s="18" t="str">
        <x:v>rebus puzzles</x:v>
      </x:c>
      <x:c r="C385" s="18" t="str">
        <x:v>tools.usefulverse.com</x:v>
      </x:c>
      <x:c r="D385" s="18" t="str">
        <x:v>https://tools.usefulverse.com/tools/rebus-puzzles/</x:v>
      </x:c>
      <x:c r="E385" s="22" t="n">
        <x:v>36</x:v>
      </x:c>
      <x:c r="F385" s="18" t="str">
        <x:v>Sí</x:v>
      </x:c>
      <x:c r="G385" s="18" t="str">
        <x:v>play ten original text-arrangement riddles in a shuffled no-repeat round; enter and check phrase answers with forgiving case, accents and punctuation normalization; request progressive hints or reveal an explanation when stuck; track correct answers and attempts for the current session and restart with a new order</x:v>
      </x:c>
      <x:c r="H385" s="18" t="str">
        <x:v>growth600 · commit 8dfcc147a3</x:v>
      </x:c>
    </x:row>
    <x:row r="386" ht="48" customHeight="1">
      <x:c r="A386" s="18" t="str">
        <x:v>killer-sudoku</x:v>
      </x:c>
      <x:c r="B386" s="18" t="str">
        <x:v>killer sudoku</x:v>
      </x:c>
      <x:c r="C386" s="18" t="str">
        <x:v>tools.usefulverse.com</x:v>
      </x:c>
      <x:c r="D386" s="18" t="str">
        <x:v>https://tools.usefulverse.com/tools/killer-sudoku/</x:v>
      </x:c>
      <x:c r="E386" s="22" t="n">
        <x:v>36</x:v>
      </x:c>
      <x:c r="F386" s="18" t="str">
        <x:v>Sí</x:v>
      </x:c>
      <x:c r="G386" s="18" t="str">
        <x:v>generate a fresh 9×9 Killer Sudoku board with connected sum cages and no repeated digit inside a cage; apply standard Sudoku row, column and 3×3 box rules alongside cage totals; check entries, undo one change and reveal one correct cell as a hint; prove the generated cage puzzle has one solution within a bounded local solver before play</x:v>
      </x:c>
      <x:c r="H386" s="18" t="str">
        <x:v>growth600 · commit 8dfcc147a3</x:v>
      </x:c>
    </x:row>
    <x:row r="387" ht="48" customHeight="1">
      <x:c r="A387" s="18" t="str">
        <x:v>sudoku-solver</x:v>
      </x:c>
      <x:c r="B387" s="18" t="str">
        <x:v>sudoku solver</x:v>
      </x:c>
      <x:c r="C387" s="18" t="str">
        <x:v>tools.usefulverse.com</x:v>
      </x:c>
      <x:c r="D387" s="18" t="str">
        <x:v>https://tools.usefulverse.com/tools/sudoku-solver/</x:v>
      </x:c>
      <x:c r="E387" s="22" t="n">
        <x:v>36</x:v>
      </x:c>
      <x:c r="F387" s="18" t="str">
        <x:v>Sí</x:v>
      </x:c>
      <x:c r="G387" s="18" t="str">
        <x:v>enter or load a classic 9×9 Sudoku grid and highlight repeated givens by row, column or box; solve locally while distinguishing invalid, unsatisfiable, unique, multiple-solution and bounded-search outcomes; report a unique solution only after search exhausts the board and cap enumeration at two solutions; reveal a valid naked-single or hidden-single step without claiming support for advanced techniques</x:v>
      </x:c>
      <x:c r="H387" s="18" t="str">
        <x:v>growth600 · commit 8dfcc147a3</x:v>
      </x:c>
    </x:row>
    <x:row r="388" ht="48" customHeight="1">
      <x:c r="A388" s="18" t="str">
        <x:v>hangman-game</x:v>
      </x:c>
      <x:c r="B388" s="18" t="str">
        <x:v>hangman game</x:v>
      </x:c>
      <x:c r="C388" s="18" t="str">
        <x:v>tools.usefulverse.com</x:v>
      </x:c>
      <x:c r="D388" s="18" t="str">
        <x:v>https://tools.usefulverse.com/tools/hangman-game/</x:v>
      </x:c>
      <x:c r="E388" s="22" t="n">
        <x:v>36</x:v>
      </x:c>
      <x:c r="F388" s="18" t="str">
        <x:v>Sí</x:v>
      </x:c>
      <x:c r="G388" s="18" t="str">
        <x:v>play a localized static word bank with easy, regular and hard attempt limits; guess one grapheme at a time and reveal all matching positions; ignore duplicate guesses without consuming an attempt and reveal one letter as an optional hint; track wrong guesses and win/loss state locally and start another word without a repeated immediate answer when alternatives exist</x:v>
      </x:c>
      <x:c r="H388" s="18" t="str">
        <x:v>growth600 · commit 8dfcc147a3</x:v>
      </x:c>
    </x:row>
    <x:row r="389" ht="48" customHeight="1">
      <x:c r="A389" s="18" t="str">
        <x:v>aim-trainer</x:v>
      </x:c>
      <x:c r="B389" s="18" t="str">
        <x:v>aim trainer</x:v>
      </x:c>
      <x:c r="C389" s="18" t="str">
        <x:v>tools.usefulverse.com</x:v>
      </x:c>
      <x:c r="D389" s="18" t="str">
        <x:v>https://tools.usefulverse.com/tools/aim-trainer/</x:v>
      </x:c>
      <x:c r="E389" s="22" t="n">
        <x:v>36</x:v>
      </x:c>
      <x:c r="F389" s="18" t="str">
        <x:v>Sí</x:v>
      </x:c>
      <x:c r="G389" s="18" t="str">
        <x:v>practice 15, 30 or 60 second mouse or touch rounds with three target sizes; count exactly one hit or miss per click and report local accuracy; reposition each target within the measured play area, including narrow screens; end rounds against a monotonic clock and keep no score history</x:v>
      </x:c>
      <x:c r="H389" s="18" t="str">
        <x:v>growth600 · commit 8dfcc147a3</x:v>
      </x:c>
    </x:row>
    <x:row r="390" ht="48" customHeight="1">
      <x:c r="A390" s="18" t="str">
        <x:v>chess-puzzles</x:v>
      </x:c>
      <x:c r="B390" s="18" t="str">
        <x:v>chess puzzles</x:v>
      </x:c>
      <x:c r="C390" s="18" t="str">
        <x:v>tools.usefulverse.com</x:v>
      </x:c>
      <x:c r="D390" s="18" t="str">
        <x:v>https://tools.usefulverse.com/tools/chess-puzzles/</x:v>
      </x:c>
      <x:c r="E390" s="22" t="n">
        <x:v>36</x:v>
      </x:c>
      <x:c r="F390" s="18" t="str">
        <x:v>Sí</x:v>
      </x:c>
      <x:c r="G390" s="18" t="str">
        <x:v>play ten original, locally verified mate-in-one positions with legal chess moves; select a piece and destination by mouse, touch or keyboard; reject illegal moves and distinguish legal moves that do not solve the puzzle; request a hint that highlights the verified source and destination squares; start a different puzzle without immediately repeating the last position</x:v>
      </x:c>
      <x:c r="H390" s="18" t="str">
        <x:v>growth600 · commit 8dfcc147a3</x:v>
      </x:c>
    </x:row>
    <x:row r="391" ht="48" customHeight="1">
      <x:c r="A391" s="18" t="str">
        <x:v>dots-and-boxes</x:v>
      </x:c>
      <x:c r="B391" s="18" t="str">
        <x:v>dots and boxes game</x:v>
      </x:c>
      <x:c r="C391" s="18" t="str">
        <x:v>tools.usefulverse.com</x:v>
      </x:c>
      <x:c r="D391" s="18" t="str">
        <x:v>https://tools.usefulverse.com/tools/dots-and-boxes/</x:v>
      </x:c>
      <x:c r="E391" s="22" t="n">
        <x:v>36</x:v>
      </x:c>
      <x:c r="F391" s="18" t="str">
        <x:v>Sí</x:v>
      </x:c>
      <x:c r="G391" s="18" t="str">
        <x:v>play 3×3, 4×4 or 5×5 box boards against a local greedy computer or another person on the same device; draw each horizontal or vertical edge at most once and claim a box by completing its fourth side; keep the same turn after scoring, track both totals and identify the winner or a tie; give the computer an immediate box-closing move before it chooses a safer edge where possible</x:v>
      </x:c>
      <x:c r="H391" s="18" t="str">
        <x:v>growth600 · commit 8dfcc147a3</x:v>
      </x:c>
    </x:row>
    <x:row r="392" ht="48" customHeight="1">
      <x:c r="A392" s="18" t="str">
        <x:v>chess-analysis-board</x:v>
      </x:c>
      <x:c r="B392" s="18" t="str">
        <x:v>chess analysis board</x:v>
      </x:c>
      <x:c r="C392" s="18" t="str">
        <x:v>tools.usefulverse.com</x:v>
      </x:c>
      <x:c r="D392" s="18" t="str">
        <x:v>https://tools.usefulverse.com/tools/chess-analysis-board/</x:v>
      </x:c>
      <x:c r="E392" s="22" t="n">
        <x:v>36</x:v>
      </x:c>
      <x:c r="F392" s="18" t="str">
        <x:v>Sí</x:v>
      </x:c>
      <x:c r="G392" s="18" t="str">
        <x:v>play legal moves from a standard position or a valid FEN position; load bounded PGN games, move through their history and branch from an earlier move; show check, checkmate and draw states and export the current FEN or PGN; write notes for the current position in the page without saving them</x:v>
      </x:c>
      <x:c r="H392" s="18" t="str">
        <x:v>growth600 · commit 8dfcc147a3</x:v>
      </x:c>
    </x:row>
    <x:row r="393" ht="48" customHeight="1">
      <x:c r="A393" s="18" t="str">
        <x:v>blackjack-game</x:v>
      </x:c>
      <x:c r="B393" s="18" t="str">
        <x:v>blackjack game online</x:v>
      </x:c>
      <x:c r="C393" s="18" t="str">
        <x:v>tools.usefulverse.com</x:v>
      </x:c>
      <x:c r="D393" s="18" t="str">
        <x:v>https://tools.usefulverse.com/tools/blackjack-game/</x:v>
      </x:c>
      <x:c r="E393" s="22" t="n">
        <x:v>36</x:v>
      </x:c>
      <x:c r="F393" s="18" t="str">
        <x:v>Sí</x:v>
      </x:c>
      <x:c r="G393" s="18" t="str">
        <x:v>play a complete one-deck blackjack practice hand against a local dealer; calculate soft and hard ace totals and keep the dealer hidden card concealed until reveal; let the dealer draw below 17 and settle win, loss, blackjack or tie; show only current-session hand totals with no wagers or persistent score history</x:v>
      </x:c>
      <x:c r="H393" s="18" t="str">
        <x:v>growth600 · commit 8dfcc147a3</x:v>
      </x:c>
    </x:row>
    <x:row r="394" ht="48" customHeight="1">
      <x:c r="A394" s="18" t="str">
        <x:v>tripeaks-solitaire</x:v>
      </x:c>
      <x:c r="B394" s="18" t="str">
        <x:v>tripeaks solitaire</x:v>
      </x:c>
      <x:c r="C394" s="18" t="str">
        <x:v>tools.usefulverse.com</x:v>
      </x:c>
      <x:c r="D394" s="18" t="str">
        <x:v>https://tools.usefulverse.com/tools/tripeaks-solitaire/</x:v>
      </x:c>
      <x:c r="E394" s="22" t="n">
        <x:v>36</x:v>
      </x:c>
      <x:c r="F394" s="18" t="str">
        <x:v>Sí</x:v>
      </x:c>
      <x:c r="G394" s="18" t="str">
        <x:v>deal a shuffled 52-card deck into three peaks, stock and waste piles; remove an exposed card one rank above or below the waste card, with ace-to-king wraparound; draw from a single-pass stock, request a legal move hint and undo a move; detect a cleared tableau or a stuck deal and keep all game state in the current tab</x:v>
      </x:c>
      <x:c r="H394" s="18" t="str">
        <x:v>growth600 · commit 8dfcc147a3</x:v>
      </x:c>
    </x:row>
    <x:row r="395" ht="48" customHeight="1">
      <x:c r="A395" s="18" t="str">
        <x:v>futoshiki</x:v>
      </x:c>
      <x:c r="B395" s="18" t="str">
        <x:v>futoshiki puzzle</x:v>
      </x:c>
      <x:c r="C395" s="18" t="str">
        <x:v>tools.usefulverse.com</x:v>
      </x:c>
      <x:c r="D395" s="18" t="str">
        <x:v>https://tools.usefulverse.com/tools/futoshiki/</x:v>
      </x:c>
      <x:c r="E395" s="22" t="n">
        <x:v>36</x:v>
      </x:c>
      <x:c r="F395" s="18" t="str">
        <x:v>Sí</x:v>
      </x:c>
      <x:c r="G395" s="18" t="str">
        <x:v>generate fresh 4×4 to 6×6 Latin-square puzzles at three difficulties with a bounded uniqueness check; enter values with labeled cells and visible inequality signs between neighboring cells; check duplicate values by row and column and validate every greater-than or less-than clue; reveal one correct cell, undo a previous entry and start another randomized puzzle; use the puzzle entirely in the browser without an account, network request or saved progress</x:v>
      </x:c>
      <x:c r="H395" s="18" t="str">
        <x:v>growth600 · commit 8dfcc147a3</x:v>
      </x:c>
    </x:row>
    <x:row r="396" ht="48" customHeight="1">
      <x:c r="A396" s="18" t="str">
        <x:v>hashi-puzzle</x:v>
      </x:c>
      <x:c r="B396" s="18" t="str">
        <x:v>hashi puzzle</x:v>
      </x:c>
      <x:c r="C396" s="18" t="str">
        <x:v>tools.usefulverse.com</x:v>
      </x:c>
      <x:c r="D396" s="18" t="str">
        <x:v>https://tools.usefulverse.com/tools/hashi-puzzle/</x:v>
      </x:c>
      <x:c r="E396" s="22" t="n">
        <x:v>36</x:v>
      </x:c>
      <x:c r="F396" s="18" t="str">
        <x:v>Sí</x:v>
      </x:c>
      <x:c r="G396" s="18" t="str">
        <x:v>generate varied Hashi layouts with a bounded search that confirms exactly one bridge solution; toggle zero, one or two bridges between the nearest islands in each row or column; prevent bridge crossings and island overfilling while showing each remaining bridge count; check exact island degrees and global connectivity, reveal one bridge hint, undo moves and clear the board; play locally without an account, network request, timer or saved score</x:v>
      </x:c>
      <x:c r="H396" s="18" t="str">
        <x:v>growth600 · commit 8dfcc147a3</x:v>
      </x:c>
    </x:row>
    <x:row r="397" ht="48" customHeight="1">
      <x:c r="A397" s="18" t="str">
        <x:v>chess-opening-trainer</x:v>
      </x:c>
      <x:c r="B397" s="18" t="str">
        <x:v>chess openings practice</x:v>
      </x:c>
      <x:c r="C397" s="18" t="str">
        <x:v>tools.usefulverse.com</x:v>
      </x:c>
      <x:c r="D397" s="18" t="str">
        <x:v>https://tools.usefulverse.com/tools/chess-opening-trainer/</x:v>
      </x:c>
      <x:c r="E397" s="22" t="n">
        <x:v>36</x:v>
      </x:c>
      <x:c r="F397" s="18" t="str">
        <x:v>Sí</x:v>
      </x:c>
      <x:c r="G397" s="18" t="str">
        <x:v>practice a focused set of common opening lines as White or Black; play legal moves on an accessible board and receive a clear correction when a move leaves the selected line; see SAN move history, opening name, move number and completion feedback; restart or choose another opening without saving a profile or uploading moves</x:v>
      </x:c>
      <x:c r="H397" s="18" t="str">
        <x:v>growth600 · commit 8dfcc147a3</x:v>
      </x:c>
    </x:row>
    <x:row r="398" ht="48" customHeight="1">
      <x:c r="A398" s="18" t="str">
        <x:v>decibel-calculator</x:v>
      </x:c>
      <x:c r="B398" s="18" t="str">
        <x:v>decibel calculator</x:v>
      </x:c>
      <x:c r="C398" s="18" t="str">
        <x:v>tools.usefulverse.com</x:v>
      </x:c>
      <x:c r="D398" s="18" t="str">
        <x:v>https://tools.usefulverse.com/tools/decibel-calculator/</x:v>
      </x:c>
      <x:c r="E398" s="22" t="n">
        <x:v>36</x:v>
      </x:c>
      <x:c r="F398" s="18" t="str">
        <x:v>Sí</x:v>
      </x:c>
      <x:c r="G398" s="18" t="str">
        <x:v>convert positive power or amplitude ratios to decibels and back; sum 2 to 20 incoherent sound levels with a numerically stable logarithmic calculation; apply positive gain or negative attenuation to an input level; show the selected formula and its scope without measuring sound or playing tones</x:v>
      </x:c>
      <x:c r="H398" s="18" t="str">
        <x:v>growth600 · commit 8dfcc147a3</x:v>
      </x:c>
    </x:row>
    <x:row r="399" ht="48" customHeight="1">
      <x:c r="A399" s="18" t="str">
        <x:v>openapi-editor</x:v>
      </x:c>
      <x:c r="B399" s="18" t="str">
        <x:v>swagger editor online</x:v>
      </x:c>
      <x:c r="C399" s="18" t="str">
        <x:v>tools.usefulverse.com</x:v>
      </x:c>
      <x:c r="D399" s="18" t="str">
        <x:v>https://tools.usefulverse.com/tools/openapi-editor/</x:v>
      </x:c>
      <x:c r="E399" s="22" t="n">
        <x:v>36</x:v>
      </x:c>
      <x:c r="F399" s="18" t="str">
        <x:v>Sí</x:v>
      </x:c>
      <x:c r="G399" s="18" t="str">
        <x:v>edit and format OpenAPI 3.0/3.1 JSON or YAML locally; lint key OpenAPI structure and operation contracts; resolve local JSON Pointer references and reject remote references; preview paths, methods and response codes without making API requests; import and export a bounded local contract file</x:v>
      </x:c>
      <x:c r="H399" s="18" t="str">
        <x:v>growth600 · commit 8dfcc147a3</x:v>
      </x:c>
    </x:row>
    <x:row r="400" ht="48" customHeight="1">
      <x:c r="A400" s="18" t="str">
        <x:v>font-pairing-tool</x:v>
      </x:c>
      <x:c r="B400" s="18" t="str">
        <x:v>font pair generator</x:v>
      </x:c>
      <x:c r="C400" s="18" t="str">
        <x:v>tools.usefulverse.com</x:v>
      </x:c>
      <x:c r="D400" s="18" t="str">
        <x:v>https://tools.usefulverse.com/tools/font-pairing-tool/</x:v>
      </x:c>
      <x:c r="E400" s="22" t="n">
        <x:v>36</x:v>
      </x:c>
      <x:c r="F400" s="18" t="str">
        <x:v>Sí</x:v>
      </x:c>
      <x:c r="G400" s="18" t="str">
        <x:v>compare heading and body font combinations using system stacks or font files selected from the device; preview a realistic heading and paragraph with adjustable type scale, weight and line height; swap the roles of the two fonts and choose from named pairing presets; copy a small CSS font-family and typography snippet without uploading selected font files</x:v>
      </x:c>
      <x:c r="H400" s="18" t="str">
        <x:v>growth600 · commit 8dfcc147a3</x:v>
      </x:c>
    </x:row>
    <x:row r="401" ht="48" customHeight="1">
      <x:c r="A401" s="18" t="str">
        <x:v>roth-vs-traditional-calculator</x:v>
      </x:c>
      <x:c r="B401" s="18" t="str">
        <x:v>roth ira vs traditional ira calculator</x:v>
      </x:c>
      <x:c r="C401" s="18" t="str">
        <x:v>tools.usefulverse.com</x:v>
      </x:c>
      <x:c r="D401" s="18" t="str">
        <x:v>https://tools.usefulverse.com/tools/roth-vs-traditional-calculator/</x:v>
      </x:c>
      <x:c r="E401" s="22" t="n">
        <x:v>36</x:v>
      </x:c>
      <x:c r="F401" s="18" t="str">
        <x:v>Sí</x:v>
      </x:c>
      <x:c r="G401" s="18" t="str">
        <x:v>compare estimated after-tax values from the same user-entered pretax annual budget; accept separate current and future withdrawal tax-rate assumptions; model a user-entered annual return and year-end contributions for a bounded time horizon; show Roth contributions after current assumed tax, traditional balance before and after assumed withdrawal tax, and the estimated difference</x:v>
      </x:c>
      <x:c r="H401" s="18" t="str">
        <x:v>growth600 · commit 8dfcc147a3</x:v>
      </x:c>
    </x:row>
    <x:row r="402" ht="48" customHeight="1">
      <x:c r="A402" s="18" t="str">
        <x:v>polygon-calculator</x:v>
      </x:c>
      <x:c r="B402" s="18" t="str">
        <x:v>polygon calculator</x:v>
      </x:c>
      <x:c r="C402" s="18" t="str">
        <x:v>tools.usefulverse.com</x:v>
      </x:c>
      <x:c r="D402" s="18" t="str">
        <x:v>https://tools.usefulverse.com/tools/polygon-calculator/</x:v>
      </x:c>
      <x:c r="E402" s="22" t="n">
        <x:v>36</x:v>
      </x:c>
      <x:c r="F402" s="18" t="str">
        <x:v>Sí</x:v>
      </x:c>
      <x:c r="G402" s="18" t="str">
        <x:v>calculate a regular polygon from its side length, apothem or circumradius; show area, perimeter, side length, apothem, circumradius, interior angle and central angle; support 4–1,000 sides and preserve the entered length unit in outputs, with squared units for area; show the exact assumptions and formula family used without drawing or uploading user data</x:v>
      </x:c>
      <x:c r="H402" s="18" t="str">
        <x:v>growth600 · commit 8dfcc147a3</x:v>
      </x:c>
    </x:row>
    <x:row r="403" ht="48" customHeight="1">
      <x:c r="A403" s="18" t="str">
        <x:v>color-name-finder</x:v>
      </x:c>
      <x:c r="B403" s="18" t="str">
        <x:v>color name finder</x:v>
      </x:c>
      <x:c r="C403" s="18" t="str">
        <x:v>tools.usefulverse.com</x:v>
      </x:c>
      <x:c r="D403" s="18" t="str">
        <x:v>https://tools.usefulverse.com/tools/color-name-finder/</x:v>
      </x:c>
      <x:c r="E403" s="22" t="n">
        <x:v>36</x:v>
      </x:c>
      <x:c r="F403" s="18" t="str">
        <x:v>Sí</x:v>
      </x:c>
      <x:c r="G403" s="18" t="str">
        <x:v>accept a hex color or native color-picker value; rank the closest standardized CSS named colors using perceptual OKLab distance; show exact standard-name matches separately from nearest approximations; copy the suggested name or hex value without uploading color data</x:v>
      </x:c>
      <x:c r="H403" s="18" t="str">
        <x:v>growth600 · commit 8dfcc147a3</x:v>
      </x:c>
    </x:row>
    <x:row r="404" ht="48" customHeight="1">
      <x:c r="A404" s="18" t="str">
        <x:v>photo-to-sketch</x:v>
      </x:c>
      <x:c r="B404" s="18" t="str">
        <x:v>photo to sketch</x:v>
      </x:c>
      <x:c r="C404" s="18" t="str">
        <x:v>tools.usefulverse.com</x:v>
      </x:c>
      <x:c r="D404" s="18" t="str">
        <x:v>https://tools.usefulverse.com/tools/photo-to-sketch/</x:v>
      </x:c>
      <x:c r="E404" s="22" t="n">
        <x:v>36</x:v>
      </x:c>
      <x:c r="F404" s="18" t="str">
        <x:v>Sí</x:v>
      </x:c>
      <x:c r="G404" s="18" t="str">
        <x:v>create a local grayscale pencil-style edge and tone effect from a supported raster image; adjust sketch intensity and fine-detail threshold; compare a reduced preview with the unchanged source; export a separate full-dimension PNG and cancel long processing</x:v>
      </x:c>
      <x:c r="H404" s="18" t="str">
        <x:v>growth600 · commit 8dfcc147a3</x:v>
      </x:c>
    </x:row>
    <x:row r="405" ht="48" customHeight="1">
      <x:c r="A405" s="18" t="str">
        <x:v>schema-markup-validator</x:v>
      </x:c>
      <x:c r="B405" s="18" t="str">
        <x:v>schema markup validator</x:v>
      </x:c>
      <x:c r="C405" s="18" t="str">
        <x:v>tools.usefulverse.com</x:v>
      </x:c>
      <x:c r="D405" s="18" t="str">
        <x:v>https://tools.usefulverse.com/tools/schema-markup-validator/</x:v>
      </x:c>
      <x:c r="E405" s="22" t="n">
        <x:v>36</x:v>
      </x:c>
      <x:c r="F405" s="18" t="str">
        <x:v>Sí</x:v>
      </x:c>
      <x:c r="G405" s="18" t="str">
        <x:v>parse pasted JSON-LD without uploading the markup; check Schema.org type and property names against a pinned local vocabulary release; report malformed JSON separately from unknown terms and non-blocking vocabulary warnings; show vocabulary version, checked entities and an example without fetching remote contexts or user URLs</x:v>
      </x:c>
      <x:c r="H405" s="18" t="str">
        <x:v>growth600 · commit 8dfcc147a3</x:v>
      </x:c>
    </x:row>
    <x:row r="406" ht="48" customHeight="1">
      <x:c r="A406" s="18" t="str">
        <x:v>readability-checker</x:v>
      </x:c>
      <x:c r="B406" s="18" t="str">
        <x:v>readability checker</x:v>
      </x:c>
      <x:c r="C406" s="18" t="str">
        <x:v>tools.usefulverse.com</x:v>
      </x:c>
      <x:c r="D406" s="18" t="str">
        <x:v>https://tools.usefulverse.com/tools/readability-checker/</x:v>
      </x:c>
      <x:c r="E406" s="22" t="n">
        <x:v>36</x:v>
      </x:c>
      <x:c r="F406" s="18" t="str">
        <x:v>Sí</x:v>
      </x:c>
      <x:c r="G406" s="18" t="str">
        <x:v>count words, sentences, letters, characters, long words and estimated syllables locally; calculate a named language-appropriate index for English, Spanish, French, German or Italian; show intermediate averages and explain that syllable counts are estimates; decline to apply a readability formula for unsupported source languages instead of silently using English coefficients</x:v>
      </x:c>
      <x:c r="H406" s="18" t="str">
        <x:v>growth600 · commit 8dfcc147a3</x:v>
      </x:c>
    </x:row>
    <x:row r="407" ht="48" customHeight="1">
      <x:c r="A407" s="18" t="str">
        <x:v>savings-goal-calculator</x:v>
      </x:c>
      <x:c r="B407" s="18" t="str">
        <x:v>savings goal calculator</x:v>
      </x:c>
      <x:c r="C407" s="18" t="str">
        <x:v>tools.usefulverse.com</x:v>
      </x:c>
      <x:c r="D407" s="18" t="str">
        <x:v>https://tools.usefulverse.com/tools/savings-goal-calculator/</x:v>
      </x:c>
      <x:c r="E407" s="22" t="n">
        <x:v>36</x:v>
      </x:c>
      <x:c r="F407" s="18" t="str">
        <x:v>Sí</x:v>
      </x:c>
      <x:c r="G407" s="18" t="str">
        <x:v>solve the monthly contribution needed for a target and a chosen number of months; solve the first whole month the target is reached for a fixed monthly contribution; include an optional current balance, nominal annual rate compounded monthly, and deposits at the beginning or end of each month; show projected amount, contributions and modeled interest separately, with an explicit 100-year cap</x:v>
      </x:c>
      <x:c r="H407" s="18" t="str">
        <x:v>growth600 · commit 8dfcc147a3</x:v>
      </x:c>
    </x:row>
    <x:row r="408" ht="48" customHeight="1">
      <x:c r="A408" s="18" t="str">
        <x:v>severance-pay-calculator</x:v>
      </x:c>
      <x:c r="B408" s="18" t="str">
        <x:v>severance pay calculator</x:v>
      </x:c>
      <x:c r="C408" s="18" t="str">
        <x:v>tools.usefulverse.com</x:v>
      </x:c>
      <x:c r="D408" s="18" t="str">
        <x:v>https://tools.usefulverse.com/tools/severance-pay-calculator/</x:v>
      </x:c>
      <x:c r="E408" s="22" t="n">
        <x:v>36</x:v>
      </x:c>
      <x:c r="F408" s="18" t="str">
        <x:v>Sí</x:v>
      </x:c>
      <x:c r="G408" s="18" t="str">
        <x:v>estimate a user-defined severance scenario from weekly pay, years and weeks per year; optionally estimate UK statutory redundancy pay using birth, employment-start and entered employment-end dates; count full service years backwards from the entered end date and show age-band weeks, weekly-pay cap and pinned rule date; keep custom assumptions separate from official UK statutory inputs and currency units</x:v>
      </x:c>
      <x:c r="H408" s="18" t="str">
        <x:v>growth600 · commit 8dfcc147a3</x:v>
      </x:c>
    </x:row>
    <x:row r="409" ht="48" customHeight="1">
      <x:c r="A409" s="18" t="str">
        <x:v>divisibility-calculator</x:v>
      </x:c>
      <x:c r="B409" s="18" t="str">
        <x:v>divisibility calculator</x:v>
      </x:c>
      <x:c r="C409" s="18" t="str">
        <x:v>tools.usefulverse.com</x:v>
      </x:c>
      <x:c r="D409" s="18" t="str">
        <x:v>https://tools.usefulverse.com/tools/divisibility-calculator/</x:v>
      </x:c>
      <x:c r="E409" s="22" t="n">
        <x:v>36</x:v>
      </x:c>
      <x:c r="F409" s="18" t="str">
        <x:v>Sí</x:v>
      </x:c>
      <x:c r="G409" s="18" t="str">
        <x:v>test a whole integer against up to 30 positive divisors in one run; show the exact quotient when divisible and the Euclidean remainder otherwise; explain common rules for divisors 2–13, 25, 100 and 1,000, with a safe exact-remainder fallback for custom divisors; support negative integers and values up to 150 digits without converting them to imprecise floating-point numbers</x:v>
      </x:c>
      <x:c r="H409" s="18" t="str">
        <x:v>growth600 · commit 8dfcc147a3</x:v>
      </x:c>
    </x:row>
    <x:row r="410" ht="48" customHeight="1">
      <x:c r="A410" s="18" t="str">
        <x:v>number-line-graphing-tool</x:v>
      </x:c>
      <x:c r="B410" s="18" t="str">
        <x:v>number line generator</x:v>
      </x:c>
      <x:c r="C410" s="18" t="str">
        <x:v>tools.usefulverse.com</x:v>
      </x:c>
      <x:c r="D410" s="18" t="str">
        <x:v>https://tools.usefulverse.com/tools/number-line-graphing-tool/</x:v>
      </x:c>
      <x:c r="E410" s="22" t="n">
        <x:v>36</x:v>
      </x:c>
      <x:c r="F410" s="18" t="str">
        <x:v>Sí</x:v>
      </x:c>
      <x:c r="G410" s="18" t="str">
        <x:v>plot up to 20 intervals or points from interval notation; accept finite decimals, fractions and one-sided infinite intervals; show open and closed endpoints accessibly; download the generated number line as a standalone SVG</x:v>
      </x:c>
      <x:c r="H410" s="18" t="str">
        <x:v>growth600 · commit 8dfcc147a3</x:v>
      </x:c>
    </x:row>
    <x:row r="411" ht="48" customHeight="1">
      <x:c r="A411" s="18" t="str">
        <x:v>laplace-transform-calculator</x:v>
      </x:c>
      <x:c r="B411" s="18" t="str">
        <x:v>laplace transform calculator</x:v>
      </x:c>
      <x:c r="C411" s="18" t="str">
        <x:v>tools.usefulverse.com</x:v>
      </x:c>
      <x:c r="D411" s="18" t="str">
        <x:v>https://tools.usefulverse.com/tools/laplace-transform-calculator/</x:v>
      </x:c>
      <x:c r="E411" s="22" t="n">
        <x:v>36</x:v>
      </x:c>
      <x:c r="F411" s="18" t="str">
        <x:v>Sí</x:v>
      </x:c>
      <x:c r="G411" s="18" t="str">
        <x:v>calculate unilateral transforms for bounded sums of constants, t powers, exponentials, sine and cosine terms; handle exponential shifts of supported polynomial and trigonometric terms and show the region of convergence; invert common simple poles, repeated shifted real poles and standard sine/cosine partial fractions; explain accepted notation and reject expressions outside the implemented table rather than returning guessed algebra</x:v>
      </x:c>
      <x:c r="H411" s="18" t="str">
        <x:v>growth600 · commit 8dfcc147a3</x:v>
      </x:c>
    </x:row>
    <x:row r="412" ht="48" customHeight="1">
      <x:c r="A412" s="18" t="str">
        <x:v>vector-calculator</x:v>
      </x:c>
      <x:c r="B412" s="18" t="str">
        <x:v>vector calculator</x:v>
      </x:c>
      <x:c r="C412" s="18" t="str">
        <x:v>tools.usefulverse.com</x:v>
      </x:c>
      <x:c r="D412" s="18" t="str">
        <x:v>https://tools.usefulverse.com/tools/vector-calculator/</x:v>
      </x:c>
      <x:c r="E412" s="22" t="n">
        <x:v>36</x:v>
      </x:c>
      <x:c r="F412" s="18" t="str">
        <x:v>Sí</x:v>
      </x:c>
      <x:c r="G412" s="18" t="str">
        <x:v>add and subtract 2D or 3D vectors; calculate dot and cross products, including the signed z-component for 2D cross products; calculate vector magnitudes, unit vectors, angle in degrees and projection of A onto B; show related magnitudes and dot product alongside the selected operation</x:v>
      </x:c>
      <x:c r="H412" s="18" t="str">
        <x:v>growth600 · commit 8dfcc147a3</x:v>
      </x:c>
    </x:row>
    <x:row r="413" ht="48" customHeight="1">
      <x:c r="A413" s="18" t="str">
        <x:v>cubic-quartic-equation-calculator</x:v>
      </x:c>
      <x:c r="B413" s="18" t="str">
        <x:v>cubic equation calculator</x:v>
      </x:c>
      <x:c r="C413" s="18" t="str">
        <x:v>tools.usefulverse.com</x:v>
      </x:c>
      <x:c r="D413" s="18" t="str">
        <x:v>https://tools.usefulverse.com/tools/cubic-quartic-equation-calculator/</x:v>
      </x:c>
      <x:c r="E413" s="22" t="n">
        <x:v>36</x:v>
      </x:c>
      <x:c r="F413" s="18" t="str">
        <x:v>Sí</x:v>
      </x:c>
      <x:c r="G413" s="18" t="str">
        <x:v>estimate distinct real roots for cubic and quartic polynomials from coefficients; report estimated multiplicities and absolute residuals for each displayed root; sort distinct roots numerically and identify when non-real roots are not shown; provide an example and reject unsupported degree, missing values, unsafe coefficient sizes and poorly conditioned leading terms</x:v>
      </x:c>
      <x:c r="H413" s="18" t="str">
        <x:v>growth600 · commit 8dfcc147a3</x:v>
      </x:c>
    </x:row>
    <x:row r="414" ht="48" customHeight="1">
      <x:c r="A414" s="18" t="str">
        <x:v>weight-loss-calculator</x:v>
      </x:c>
      <x:c r="B414" s="18" t="str">
        <x:v>weight loss calculator</x:v>
      </x:c>
      <x:c r="C414" s="18" t="str">
        <x:v>tools.usefulverse.com</x:v>
      </x:c>
      <x:c r="D414" s="18" t="str">
        <x:v>https://tools.usefulverse.com/tools/weight-loss-calculator/</x:v>
      </x:c>
      <x:c r="E414" s="22" t="n">
        <x:v>36</x:v>
      </x:c>
      <x:c r="F414" s="18" t="str">
        <x:v>Sí</x:v>
      </x:c>
      <x:c r="G414" s="18" t="str">
        <x:v>calculate a transparent linear energy-equivalent scenario from a user-entered weight goal and daily deficit; support kilograms and pounds; show modeled energy equivalent, estimated scenario timeline and implied weekly rate; return no projected change when the entered deficit is zero; explain why the simplified linear rule is not a physiological forecast and link to official sources</x:v>
      </x:c>
      <x:c r="H414" s="18" t="str">
        <x:v>growth600 · commit 8dfcc147a3</x:v>
      </x:c>
    </x:row>
    <x:row r="415" ht="48" customHeight="1">
      <x:c r="A415" s="18" t="str">
        <x:v>random-team-generator</x:v>
      </x:c>
      <x:c r="B415" s="18" t="str">
        <x:v>random team generator</x:v>
      </x:c>
      <x:c r="C415" s="18" t="str">
        <x:v>tools.usefulverse.com</x:v>
      </x:c>
      <x:c r="D415" s="18" t="str">
        <x:v>https://tools.usefulverse.com/tools/random-team-generator/</x:v>
      </x:c>
      <x:c r="E415" s="22" t="n">
        <x:v>36</x:v>
      </x:c>
      <x:c r="F415" s="18" t="str">
        <x:v>Sí</x:v>
      </x:c>
      <x:c r="G415" s="18" t="str">
        <x:v>split 2–60 unique participant names into 2–12 balanced teams; keep selected participant pairs on different teams; create a reproducible randomized result from an optional seed; copy a readable result or download a CSV locally</x:v>
      </x:c>
      <x:c r="H415" s="18" t="str">
        <x:v>growth600 · commit 8dfcc147a3</x:v>
      </x:c>
    </x:row>
    <x:row r="416" ht="48" customHeight="1">
      <x:c r="A416" s="18" t="str">
        <x:v>brick-calculator</x:v>
      </x:c>
      <x:c r="B416" s="18" t="str">
        <x:v>brick calculator</x:v>
      </x:c>
      <x:c r="C416" s="18" t="str">
        <x:v>tools.usefulverse.com</x:v>
      </x:c>
      <x:c r="D416" s="18" t="str">
        <x:v>https://tools.usefulverse.com/tools/brick-calculator/</x:v>
      </x:c>
      <x:c r="E416" s="22" t="n">
        <x:v>36</x:v>
      </x:c>
      <x:c r="F416" s="18" t="str">
        <x:v>Sí</x:v>
      </x:c>
      <x:c r="G416" s="18" t="str">
        <x:v>estimate bricks from wall dimensions and actual brick size plus mortar joint; deduct repeated rectangular openings and show approximate courses and average bricks per course; apply configurable waste and wall wythes; estimate mortar volume and optional bag count from user-entered bag yield</x:v>
      </x:c>
      <x:c r="H416" s="18" t="str">
        <x:v>growth600 · commit 8dfcc147a3</x:v>
      </x:c>
    </x:row>
    <x:row r="417" ht="48" customHeight="1">
      <x:c r="A417" s="18" t="str">
        <x:v>rafter-calculator</x:v>
      </x:c>
      <x:c r="B417" s="18" t="str">
        <x:v>rafter calculator</x:v>
      </x:c>
      <x:c r="C417" s="18" t="str">
        <x:v>tools.usefulverse.com</x:v>
      </x:c>
      <x:c r="D417" s="18" t="str">
        <x:v>https://tools.usefulverse.com/tools/rafter-calculator/</x:v>
      </x:c>
      <x:c r="E417" s="22" t="n">
        <x:v>36</x:v>
      </x:c>
      <x:c r="F417" s="18" t="str">
        <x:v>Sí</x:v>
      </x:c>
      <x:c r="G417" s="18" t="str">
        <x:v>calculate geometric rafter length from building span and roof rise or pitch; account for ridge-board thickness and optional horizontal eave overhang; show the roof slope and plumb-cut angle with an accessible geometry sketch; support metric and imperial units without mixing them</x:v>
      </x:c>
      <x:c r="H417" s="18" t="str">
        <x:v>growth600 · commit 8dfcc147a3</x:v>
      </x:c>
    </x:row>
    <x:row r="418" ht="48" customHeight="1">
      <x:c r="A418" s="18" t="str">
        <x:v>carpet-calculator</x:v>
      </x:c>
      <x:c r="B418" s="18" t="str">
        <x:v>carpet calculator</x:v>
      </x:c>
      <x:c r="C418" s="18" t="str">
        <x:v>tools.usefulverse.com</x:v>
      </x:c>
      <x:c r="D418" s="18" t="str">
        <x:v>https://tools.usefulverse.com/tools/carpet-calculator/</x:v>
      </x:c>
      <x:c r="E418" s="22" t="n">
        <x:v>36</x:v>
      </x:c>
      <x:c r="F418" s="18" t="str">
        <x:v>Sí</x:v>
      </x:c>
      <x:c r="G418" s="18" t="str">
        <x:v>estimate full-width carpet cuts and seams for a rectangular room from roll width; compare roll orientations and calculate material length for the selected pile direction; support identical rooms, metric/imperial dimensions and a configurable cutting allowance; show why roll-width leftovers mean purchased area exceeds floor area</x:v>
      </x:c>
      <x:c r="H418" s="18" t="str">
        <x:v>growth600 · commit 8dfcc147a3</x:v>
      </x:c>
    </x:row>
    <x:row r="419" ht="48" customHeight="1">
      <x:c r="A419" s="18" t="str">
        <x:v>aquarium-calculator</x:v>
      </x:c>
      <x:c r="B419" s="18" t="str">
        <x:v>fish tank volume calculator</x:v>
      </x:c>
      <x:c r="C419" s="18" t="str">
        <x:v>tools.usefulverse.com</x:v>
      </x:c>
      <x:c r="D419" s="18" t="str">
        <x:v>https://tools.usefulverse.com/tools/aquarium-calculator/</x:v>
      </x:c>
      <x:c r="E419" s="22" t="n">
        <x:v>36</x:v>
      </x:c>
      <x:c r="F419" s="18" t="str">
        <x:v>Sí</x:v>
      </x:c>
      <x:c r="G419" s="18" t="str">
        <x:v>estimate rectangular tank capacity from internal dimensions; subtract the unfilled top air gap and an entered solid share of the substrate layer; show usable water in litres and US/imperial gallons; estimate water mass in kilograms and pounds without including the tank, stand or decorations</x:v>
      </x:c>
      <x:c r="H419" s="18" t="str">
        <x:v>growth600 · commit 8dfcc147a3</x:v>
      </x:c>
    </x:row>
    <x:row r="420" ht="48" customHeight="1">
      <x:c r="A420" s="18" t="str">
        <x:v>grass-seed-calculator</x:v>
      </x:c>
      <x:c r="B420" s="18" t="str">
        <x:v>grass seed calculator</x:v>
      </x:c>
      <x:c r="C420" s="18" t="str">
        <x:v>tools.usefulverse.com</x:v>
      </x:c>
      <x:c r="D420" s="18" t="str">
        <x:v>https://tools.usefulverse.com/tools/grass-seed-calculator/</x:v>
      </x:c>
      <x:c r="E420" s="22" t="n">
        <x:v>36</x:v>
      </x:c>
      <x:c r="F420" s="18" t="str">
        <x:v>Sí</x:v>
      </x:c>
      <x:c r="G420" s="18" t="str">
        <x:v>estimate seed quantity from lawn area and a user-entered product rate; accept metric or imperial area and two seeding-rate units; split the total into a two-variety mix whose shares must add to 100%; optionally round up to whole bags from a user-entered package size</x:v>
      </x:c>
      <x:c r="H420" s="18" t="str">
        <x:v>growth600 · commit 8dfcc147a3</x:v>
      </x:c>
    </x:row>
    <x:row r="421" ht="48" customHeight="1">
      <x:c r="A421" s="18" t="str">
        <x:v>insulation-calculator</x:v>
      </x:c>
      <x:c r="B421" s="18" t="str">
        <x:v>insulation calculator</x:v>
      </x:c>
      <x:c r="C421" s="18" t="str">
        <x:v>tools.usefulverse.com</x:v>
      </x:c>
      <x:c r="D421" s="18" t="str">
        <x:v>https://tools.usefulverse.com/tools/insulation-calculator/</x:v>
      </x:c>
      <x:c r="E421" s="22" t="n">
        <x:v>36</x:v>
      </x:c>
      <x:c r="F421" s="18" t="str">
        <x:v>Sí</x:v>
      </x:c>
      <x:c r="G421" s="18" t="str">
        <x:v>add resistance contributions for user-entered layers in series; multiply each layer value by its repeated quantity; convert between US R-value and metric RSI; show reciprocal U-factors as a unit conversion, not an assembly performance prediction</x:v>
      </x:c>
      <x:c r="H421" s="18" t="str">
        <x:v>growth600 · commit 8dfcc147a3</x:v>
      </x:c>
    </x:row>
    <x:row r="422" ht="48" customHeight="1">
      <x:c r="A422" s="18" t="str">
        <x:v>wall-framing-calculator</x:v>
      </x:c>
      <x:c r="B422" s="18" t="str">
        <x:v>stud calculator</x:v>
      </x:c>
      <x:c r="C422" s="18" t="str">
        <x:v>tools.usefulverse.com</x:v>
      </x:c>
      <x:c r="D422" s="18" t="str">
        <x:v>https://tools.usefulverse.com/tools/wall-framing-calculator/</x:v>
      </x:c>
      <x:c r="E422" s="22" t="n">
        <x:v>36</x:v>
      </x:c>
      <x:c r="F422" s="18" t="str">
        <x:v>Sí</x:v>
      </x:c>
      <x:c r="G422" s="18" t="str">
        <x:v>estimate stud positions along a straight wall using the entered maximum spacing; place supported positions at both wall ends and the edges of up to three positioned openings; calculate stud and top/bottom plate linear material using entered row counts; accept separate units for wall dimensions and stud spacing</x:v>
      </x:c>
      <x:c r="H422" s="18" t="str">
        <x:v>growth600 · commit 8dfcc147a3</x:v>
      </x:c>
    </x:row>
    <x:row r="423" ht="48" customHeight="1">
      <x:c r="A423" s="18" t="str">
        <x:v>electricity-cost-calculator</x:v>
      </x:c>
      <x:c r="B423" s="18" t="str">
        <x:v>electricity cost calculator</x:v>
      </x:c>
      <x:c r="C423" s="18" t="str">
        <x:v>tools.usefulverse.com</x:v>
      </x:c>
      <x:c r="D423" s="18" t="str">
        <x:v>https://tools.usefulverse.com/tools/electricity-cost-calculator/</x:v>
      </x:c>
      <x:c r="E423" s="22" t="n">
        <x:v>36</x:v>
      </x:c>
      <x:c r="F423" s="18" t="str">
        <x:v>Sí</x:v>
      </x:c>
      <x:c r="G423" s="18" t="str">
        <x:v>estimate energy and cost for up to four appliances from rated power and usage schedule; accept W or kW, quantity, hours per active day, and active days in a billing period; apply a user-entered price per kWh and optional fixed charge for that same period; show each appliance and total period energy, energy charge, fixed charge, and average daily energy</x:v>
      </x:c>
      <x:c r="H423" s="18" t="str">
        <x:v>growth600 · commit 8dfcc147a3</x:v>
      </x:c>
    </x:row>
    <x:row r="424" ht="48" customHeight="1">
      <x:c r="A424" s="18" t="str">
        <x:v>compost-calculator</x:v>
      </x:c>
      <x:c r="B424" s="18" t="str">
        <x:v>compost calculator</x:v>
      </x:c>
      <x:c r="C424" s="18" t="str">
        <x:v>tools.usefulverse.com</x:v>
      </x:c>
      <x:c r="D424" s="18" t="str">
        <x:v>https://tools.usefulverse.com/tools/compost-calculator/</x:v>
      </x:c>
      <x:c r="E424" s="22" t="n">
        <x:v>36</x:v>
      </x:c>
      <x:c r="F424" s="18" t="str">
        <x:v>Sí</x:v>
      </x:c>
      <x:c r="G424" s="18" t="str">
        <x:v>estimate a blended carbon-to-nitrogen ratio from up to four user-entered materials and wet masses; account for each material moisture, dry-matter carbon fraction and C:N ratio; show wet mass, dry mass, water, carbon, nitrogen and resulting mix moisture; optionally estimate water to add or moisture to remove for a user-entered target</x:v>
      </x:c>
      <x:c r="H424" s="18" t="str">
        <x:v>growth600 · commit 8dfcc147a3</x:v>
      </x:c>
    </x:row>
    <x:row r="425" ht="48" customHeight="1">
      <x:c r="A425" s="18" t="str">
        <x:v>pond-volume-calculator</x:v>
      </x:c>
      <x:c r="B425" s="18" t="str">
        <x:v>pond volume calculator</x:v>
      </x:c>
      <x:c r="C425" s="18" t="str">
        <x:v>tools.usefulverse.com</x:v>
      </x:c>
      <x:c r="D425" s="18" t="str">
        <x:v>https://tools.usefulverse.com/tools/pond-volume-calculator/</x:v>
      </x:c>
      <x:c r="E425" s="22" t="n">
        <x:v>36</x:v>
      </x:c>
      <x:c r="F425" s="18" t="str">
        <x:v>Sí</x:v>
      </x:c>
      <x:c r="G425" s="18" t="str">
        <x:v>estimate geometric water capacity for rectangular, circular or oval ponds; calculate filled water volume from the user-entered fill percentage and average depth; estimate liner sheet length, width and area from plan dimensions, maximum depth and edge overlap; show liters and US/imperial gallons alongside selected-unit liner dimensions</x:v>
      </x:c>
      <x:c r="H425" s="18" t="str">
        <x:v>growth600 · commit 8dfcc147a3</x:v>
      </x:c>
    </x:row>
    <x:row r="426" ht="48" customHeight="1">
      <x:c r="A426" s="18" t="str">
        <x:v>fertilizer-calculator</x:v>
      </x:c>
      <x:c r="B426" s="18" t="str">
        <x:v>fertilizer calculator</x:v>
      </x:c>
      <x:c r="C426" s="18" t="str">
        <x:v>tools.usefulverse.com</x:v>
      </x:c>
      <x:c r="D426" s="18" t="str">
        <x:v>https://tools.usefulverse.com/tools/fertilizer-calculator/</x:v>
      </x:c>
      <x:c r="E426" s="22" t="n">
        <x:v>36</x:v>
      </x:c>
      <x:c r="F426" s="18" t="str">
        <x:v>Sí</x:v>
      </x:c>
      <x:c r="G426" s="18" t="str">
        <x:v>calculate nitrogen, phosphate-equivalent and potash-equivalent mass from a user-entered fertilizer amount and guaranteed-analysis percentages; estimate product quantity from a user-entered application rate and area in metric or imperial units; show product mass and each labeled N-P₂O₅-K₂O nutrient mass in the selected mass unit; accept batch or area-rate inputs without recommending an application rate</x:v>
      </x:c>
      <x:c r="H426" s="18" t="str">
        <x:v>growth600 · commit 8dfcc147a3</x:v>
      </x:c>
    </x:row>
    <x:row r="427" ht="48" customHeight="1">
      <x:c r="A427" s="18" t="str">
        <x:v>complex-number-calculator</x:v>
      </x:c>
      <x:c r="B427" s="18" t="str">
        <x:v>complex number calculator</x:v>
      </x:c>
      <x:c r="C427" s="18" t="str">
        <x:v>tools.usefulverse.com</x:v>
      </x:c>
      <x:c r="D427" s="18" t="str">
        <x:v>https://tools.usefulverse.com/tools/complex-number-calculator/</x:v>
      </x:c>
      <x:c r="E427" s="22" t="n">
        <x:v>36</x:v>
      </x:c>
      <x:c r="F427" s="18" t="str">
        <x:v>Sí</x:v>
      </x:c>
      <x:c r="G427" s="18" t="str">
        <x:v>add, subtract, multiply and divide complex numbers in rectangular form; convert rectangular and polar forms with degrees or radians; calculate modulus and principal argument; list every nth root for integer degrees from 2 to 12</x:v>
      </x:c>
      <x:c r="H427" s="18" t="str">
        <x:v>growth600 · commit 8dfcc147a3</x:v>
      </x:c>
    </x:row>
    <x:row r="428" ht="48" customHeight="1">
      <x:c r="A428" s="18" t="str">
        <x:v>eigenvalue-calculator</x:v>
      </x:c>
      <x:c r="B428" s="18" t="str">
        <x:v>eigenvalue calculator</x:v>
      </x:c>
      <x:c r="C428" s="18" t="str">
        <x:v>tools.usefulverse.com</x:v>
      </x:c>
      <x:c r="D428" s="18" t="str">
        <x:v>https://tools.usefulverse.com/tools/eigenvalue-calculator/</x:v>
      </x:c>
      <x:c r="E428" s="22" t="n">
        <x:v>36</x:v>
      </x:c>
      <x:c r="F428" s="18" t="str">
        <x:v>Sí</x:v>
      </x:c>
      <x:c r="G428" s="18" t="str">
        <x:v>calculate the real eigenvalues and normalized eigenvectors of a real symmetric matrix; show the residual for each eigenpair so users can check A v = λ v; accept matrices from 2×2 through 8×8 with rows separated by lines and values separated by commas or spaces; sort eigenvalues from smallest to largest and copy the numeric result</x:v>
      </x:c>
      <x:c r="H428" s="18" t="str">
        <x:v>growth600 · commit 8dfcc147a3</x:v>
      </x:c>
    </x:row>
    <x:row r="429" ht="48" customHeight="1">
      <x:c r="A429" s="18" t="str">
        <x:v>bond-calculator</x:v>
      </x:c>
      <x:c r="B429" s="18" t="str">
        <x:v>bond calculator</x:v>
      </x:c>
      <x:c r="C429" s="18" t="str">
        <x:v>tools.usefulverse.com</x:v>
      </x:c>
      <x:c r="D429" s="18" t="str">
        <x:v>https://tools.usefulverse.com/tools/bond-calculator/</x:v>
      </x:c>
      <x:c r="E429" s="22" t="n">
        <x:v>36</x:v>
      </x:c>
      <x:c r="F429" s="18" t="str">
        <x:v>Sí</x:v>
      </x:c>
      <x:c r="G429" s="18" t="str">
        <x:v>estimate a fixed-coupon bond price by discounting scheduled coupon and principal payments using a nominal annual yield compounded at the selected coupon frequency; numerically solve a nominal annual yield to maturity from a market price using bounded bisection; show coupon payment, current yield or premium/discount and a local price–yield curve; support annual, semiannual, quarterly and monthly coupons while requiring maturity to contain a whole number of payment periods</x:v>
      </x:c>
      <x:c r="H429" s="18" t="str">
        <x:v>growth600 · commit 8dfcc147a3</x:v>
      </x:c>
    </x:row>
    <x:row r="430" ht="48" customHeight="1">
      <x:c r="A430" s="18" t="str">
        <x:v>kinetic-energy-calculator</x:v>
      </x:c>
      <x:c r="B430" s="18" t="str">
        <x:v>kinetic energy calculator</x:v>
      </x:c>
      <x:c r="C430" s="18" t="str">
        <x:v>tools.usefulverse.com</x:v>
      </x:c>
      <x:c r="D430" s="18" t="str">
        <x:v>https://tools.usefulverse.com/tools/kinetic-energy-calculator/</x:v>
      </x:c>
      <x:c r="E430" s="22" t="n">
        <x:v>36</x:v>
      </x:c>
      <x:c r="F430" s="18" t="str">
        <x:v>Sí</x:v>
      </x:c>
      <x:c r="G430" s="18" t="str">
        <x:v>calculate kinetic energy from mass and speed; calculate gravitational potential energy relative to an explicitly chosen zero-height reference; solve speed from mass and kinetic energy; show the assumed gravitational acceleration and total mechanical energy without modeling losses</x:v>
      </x:c>
      <x:c r="H430" s="18" t="str">
        <x:v>growth600 · commit 8dfcc147a3</x:v>
      </x:c>
    </x:row>
    <x:row r="431" ht="48" customHeight="1">
      <x:c r="A431" s="18" t="str">
        <x:v>momentum-calculator</x:v>
      </x:c>
      <x:c r="B431" s="18" t="str">
        <x:v>momentum calculator</x:v>
      </x:c>
      <x:c r="C431" s="18" t="str">
        <x:v>tools.usefulverse.com</x:v>
      </x:c>
      <x:c r="D431" s="18" t="str">
        <x:v>https://tools.usefulverse.com/tools/momentum-calculator/</x:v>
      </x:c>
      <x:c r="E431" s="22" t="n">
        <x:v>36</x:v>
      </x:c>
      <x:c r="F431" s="18" t="str">
        <x:v>Sí</x:v>
      </x:c>
      <x:c r="G431" s="18" t="str">
        <x:v>calculate signed total momentum from the mass and velocity of two objects; estimate final velocities for a one-dimensional collision with coefficient of restitution from 0 to 1; compare total momentum and kinetic energy before and after impact; convert entered masses and velocities to SI for the calculation</x:v>
      </x:c>
      <x:c r="H431" s="18" t="str">
        <x:v>growth600 · commit 8dfcc147a3</x:v>
      </x:c>
    </x:row>
    <x:row r="432" ht="48" customHeight="1">
      <x:c r="A432" s="18" t="str">
        <x:v>resistor-color-code-calculator</x:v>
      </x:c>
      <x:c r="B432" s="18" t="str">
        <x:v>resistor color code calculator</x:v>
      </x:c>
      <x:c r="C432" s="18" t="str">
        <x:v>tools.usefulverse.com</x:v>
      </x:c>
      <x:c r="D432" s="18" t="str">
        <x:v>https://tools.usefulverse.com/tools/resistor-color-code-calculator/</x:v>
      </x:c>
      <x:c r="E432" s="22" t="n">
        <x:v>36</x:v>
      </x:c>
      <x:c r="F432" s="18" t="str">
        <x:v>Sí</x:v>
      </x:c>
      <x:c r="G432" s="18" t="str">
        <x:v>decode standard 4-, 5- and 6-band resistor colors into ohms and tolerance; decode six-band temperature coefficient when supplied; reverse-encode an entered resistance to the nearest representable standard band pattern; show the rounded nominal value and exact band order</x:v>
      </x:c>
      <x:c r="H432" s="18" t="str">
        <x:v>growth600 · commit 8dfcc147a3</x:v>
      </x:c>
    </x:row>
    <x:row r="433" ht="48" customHeight="1">
      <x:c r="A433" s="18" t="str">
        <x:v>acceleration-calculator</x:v>
      </x:c>
      <x:c r="B433" s="18" t="str">
        <x:v>acceleration calculator</x:v>
      </x:c>
      <x:c r="C433" s="18" t="str">
        <x:v>tools.usefulverse.com</x:v>
      </x:c>
      <x:c r="D433" s="18" t="str">
        <x:v>https://tools.usefulverse.com/tools/acceleration-calculator/</x:v>
      </x:c>
      <x:c r="E433" s="22" t="n">
        <x:v>36</x:v>
      </x:c>
      <x:c r="F433" s="18" t="str">
        <x:v>Sí</x:v>
      </x:c>
      <x:c r="G433" s="18" t="str">
        <x:v>solve acceleration from initial and final velocity over time; solve elapsed time from two velocities and constant acceleration; solve final velocity or displacement from initial velocity, acceleration and time; show displacement and final position using metric or imperial units</x:v>
      </x:c>
      <x:c r="H433" s="18" t="str">
        <x:v>growth600 · commit 8dfcc147a3</x:v>
      </x:c>
    </x:row>
    <x:row r="434" ht="48" customHeight="1">
      <x:c r="A434" s="18" t="str">
        <x:v>friction-calculator</x:v>
      </x:c>
      <x:c r="B434" s="18" t="str">
        <x:v>friction calculator</x:v>
      </x:c>
      <x:c r="C434" s="18" t="str">
        <x:v>tools.usefulverse.com</x:v>
      </x:c>
      <x:c r="D434" s="18" t="str">
        <x:v>https://tools.usefulverse.com/tools/friction-calculator/</x:v>
      </x:c>
      <x:c r="E434" s="22" t="n">
        <x:v>36</x:v>
      </x:c>
      <x:c r="F434" s="18" t="str">
        <x:v>Sí</x:v>
      </x:c>
      <x:c r="G434" s="18" t="str">
        <x:v>calculate the maximum static friction from the normal force and static coefficient; compare downslope gravity plus an applied force with the static threshold; when sliding or already moving, calculate kinetic friction and net force; accept either a known normal force or mass and incline angle; convert N, kN and lbf inputs</x:v>
      </x:c>
      <x:c r="H434" s="18" t="str">
        <x:v>growth600 · commit 8dfcc147a3</x:v>
      </x:c>
    </x:row>
    <x:row r="435" ht="48" customHeight="1">
      <x:c r="A435" s="18" t="str">
        <x:v>force-calculator</x:v>
      </x:c>
      <x:c r="B435" s="18" t="str">
        <x:v>force calculator</x:v>
      </x:c>
      <x:c r="C435" s="18" t="str">
        <x:v>tools.usefulverse.com</x:v>
      </x:c>
      <x:c r="D435" s="18" t="str">
        <x:v>https://tools.usefulverse.com/tools/force-calculator/</x:v>
      </x:c>
      <x:c r="E435" s="22" t="n">
        <x:v>36</x:v>
      </x:c>
      <x:c r="F435" s="18" t="str">
        <x:v>Sí</x:v>
      </x:c>
      <x:c r="G435" s="18" t="str">
        <x:v>solve force, mass or acceleration from the other two using F = m × a; add up to five signed collinear forces and calculate net force and acceleration; convert force between N, kN and lbf, mass between kg and lb, and acceleration between m/s² and ft/s²; show a proportional force-arrow diagram with direction and a zero-force state</x:v>
      </x:c>
      <x:c r="H435" s="18" t="str">
        <x:v>growth600 · commit 8dfcc147a3</x:v>
      </x:c>
    </x:row>
    <x:row r="436" ht="48" customHeight="1">
      <x:c r="A436" s="18" t="str">
        <x:v>horsepower-calculator</x:v>
      </x:c>
      <x:c r="B436" s="18" t="str">
        <x:v>horsepower calculator</x:v>
      </x:c>
      <x:c r="C436" s="18" t="str">
        <x:v>tools.usefulverse.com</x:v>
      </x:c>
      <x:c r="D436" s="18" t="str">
        <x:v>https://tools.usefulverse.com/tools/horsepower-calculator/</x:v>
      </x:c>
      <x:c r="E436" s="22" t="n">
        <x:v>36</x:v>
      </x:c>
      <x:c r="F436" s="18" t="str">
        <x:v>Sí</x:v>
      </x:c>
      <x:c r="G436" s="18" t="str">
        <x:v>calculate shaft power from torque and RPM or solve for torque or RPM from the other two values; convert torque between N·m and lb·ft and power between W, kW, mechanical hp and metric PS; show all power-unit equivalents so users can distinguish mechanical and metric horsepower</x:v>
      </x:c>
      <x:c r="H436" s="18" t="str">
        <x:v>growth600 · commit 8dfcc147a3</x:v>
      </x:c>
    </x:row>
    <x:row r="437" ht="48" customHeight="1">
      <x:c r="A437" s="18" t="str">
        <x:v>rtf-converter</x:v>
      </x:c>
      <x:c r="B437" s="18" t="str">
        <x:v>rtf to pdf converter</x:v>
      </x:c>
      <x:c r="C437" s="18" t="str">
        <x:v>tools.usefulverse.com</x:v>
      </x:c>
      <x:c r="D437" s="18" t="str">
        <x:v>https://tools.usefulverse.com/tools/rtf-converter/</x:v>
      </x:c>
      <x:c r="E437" s="22" t="n">
        <x:v>36</x:v>
      </x:c>
      <x:c r="F437" s="18" t="str">
        <x:v>Sí</x:v>
      </x:c>
      <x:c r="G437" s="18" t="str">
        <x:v>extract readable paragraphs, tabs, Unicode text and common symbols from a local RTF file; ignore RTF control words and embedded metadata instead of exposing formatting codes as text; copy or download the extracted text, or open a print dialog to save it as PDF when the browser supports printing</x:v>
      </x:c>
      <x:c r="H437" s="18" t="str">
        <x:v>growth600 · commit 8dfcc147a3</x:v>
      </x:c>
    </x:row>
    <x:row r="438" ht="48" customHeight="1">
      <x:c r="A438" s="18" t="str">
        <x:v>csv-to-pdf</x:v>
      </x:c>
      <x:c r="B438" s="18" t="str">
        <x:v>csv to pdf</x:v>
      </x:c>
      <x:c r="C438" s="18" t="str">
        <x:v>tools.usefulverse.com</x:v>
      </x:c>
      <x:c r="D438" s="18" t="str">
        <x:v>https://tools.usefulverse.com/tools/csv-to-pdf/</x:v>
      </x:c>
      <x:c r="E438" s="22" t="n">
        <x:v>36</x:v>
      </x:c>
      <x:c r="F438" s="18" t="str">
        <x:v>Sí</x:v>
      </x:c>
      <x:c r="G438" s="18" t="str">
        <x:v>parse a local UTF-8 or Windows-1252 CSV with comma, semicolon, tab or pipe separators; preview a bounded accessible table with optional first-row headers and printable page settings; print the table or save it as PDF from the browser without uploading the CSV or executing spreadsheet formulas</x:v>
      </x:c>
      <x:c r="H438" s="18" t="str">
        <x:v>growth600 · commit 8dfcc147a3</x:v>
      </x:c>
    </x:row>
    <x:row r="439" ht="48" customHeight="1">
      <x:c r="A439" s="18" t="str">
        <x:v>round-robin-tournament-generator</x:v>
      </x:c>
      <x:c r="B439" s="18" t="str">
        <x:v>round robin tournament generator</x:v>
      </x:c>
      <x:c r="C439" s="18" t="str">
        <x:v>tools.usefulverse.com</x:v>
      </x:c>
      <x:c r="D439" s="18" t="str">
        <x:v>https://tools.usefulverse.com/tools/round-robin-tournament-generator/</x:v>
      </x:c>
      <x:c r="E439" s="22" t="n">
        <x:v>36</x:v>
      </x:c>
      <x:c r="F439" s="18" t="str">
        <x:v>Sí</x:v>
      </x:c>
      <x:c r="G439" s="18" t="str">
        <x:v>create a single- or double-leg round-robin schedule for 2–32 unique teams or players; shuffle the draw optionally and assign one automatic bye per entrant in each leg when the group size is odd; enter match scores and calculate a live table using 3/1/0 points with goal-difference, goals-for and wins tie-breaks; download fixtures and results as CSV or print/save them as PDF without sending participant data to a service</x:v>
      </x:c>
      <x:c r="H439" s="18" t="str">
        <x:v>growth600 · commit 8dfcc147a3</x:v>
      </x:c>
    </x:row>
    <x:row r="440" ht="48" customHeight="1">
      <x:c r="A440" s="18" t="str">
        <x:v>work-order-generator</x:v>
      </x:c>
      <x:c r="B440" s="18" t="str">
        <x:v>work order template</x:v>
      </x:c>
      <x:c r="C440" s="18" t="str">
        <x:v>tools.usefulverse.com</x:v>
      </x:c>
      <x:c r="D440" s="18" t="str">
        <x:v>https://tools.usefulverse.com/tools/work-order-generator/</x:v>
      </x:c>
      <x:c r="E440" s="22" t="n">
        <x:v>36</x:v>
      </x:c>
      <x:c r="F440" s="18" t="str">
        <x:v>Sí</x:v>
      </x:c>
      <x:c r="G440" s="18" t="str">
        <x:v>create a printable service or maintenance work order with customer, location, contact, assignee, issue and scheduled dates, job summary and notes; track a bounded checklist and open, in-progress or completed status with a required completion date; list required materials by description, quantity and unit, and log labor activities by hours without adding prices or tax; preview and print/save as PDF or export a spreadsheet-safe CSV; all entries remain in the browser</x:v>
      </x:c>
      <x:c r="H440" s="18" t="str">
        <x:v>growth600 · commit 8dfcc147a3</x:v>
      </x:c>
    </x:row>
    <x:row r="441" ht="48" customHeight="1">
      <x:c r="A441" s="18" t="str">
        <x:v>purchase-order-generator</x:v>
      </x:c>
      <x:c r="B441" s="18" t="str">
        <x:v>purchase order template</x:v>
      </x:c>
      <x:c r="C441" s="18" t="str">
        <x:v>tools.usefulverse.com</x:v>
      </x:c>
      <x:c r="D441" s="18" t="str">
        <x:v>https://tools.usefulverse.com/tools/purchase-order-generator/</x:v>
      </x:c>
      <x:c r="E441" s="22" t="n">
        <x:v>36</x:v>
      </x:c>
      <x:c r="F441" s="18" t="str">
        <x:v>Sí</x:v>
      </x:c>
      <x:c r="G441" s="18" t="str">
        <x:v>create a print-ready purchase order with buyer, supplier, order number, dates, currency and terms; enter up to 50 line items with quantities and unit prices, then calculate rounded line totals, optional tax, shipping and the order total; print or save a PDF using the browser or export a spreadsheet-safe CSV; work locally without account, upload, cloud storage or paid service</x:v>
      </x:c>
      <x:c r="H441" s="18" t="str">
        <x:v>growth600 · commit 8dfcc147a3</x:v>
      </x:c>
    </x:row>
    <x:row r="442" ht="48" customHeight="1">
      <x:c r="A442" s="18" t="str">
        <x:v>hijri-calendar-converter</x:v>
      </x:c>
      <x:c r="B442" s="18" t="str">
        <x:v>hijri calendar converter</x:v>
      </x:c>
      <x:c r="C442" s="18" t="str">
        <x:v>tools.usefulverse.com</x:v>
      </x:c>
      <x:c r="D442" s="18" t="str">
        <x:v>https://tools.usefulverse.com/tools/hijri-calendar-converter/</x:v>
      </x:c>
      <x:c r="E442" s="22" t="n">
        <x:v>36</x:v>
      </x:c>
      <x:c r="F442" s="18" t="str">
        <x:v>Sí</x:v>
      </x:c>
      <x:c r="G442" s="18" t="str">
        <x:v>convert valid Gregorian dates to a deterministic tabular Hijri date and back; show the selected Hijri month, year and leap-year status; explain the fixed arithmetic method and why local moon-sighting calendars may differ</x:v>
      </x:c>
      <x:c r="H442" s="18" t="str">
        <x:v>growth600 · commit 8dfcc147a3</x:v>
      </x:c>
    </x:row>
    <x:row r="443" ht="48" customHeight="1">
      <x:c r="A443" s="18" t="str">
        <x:v>capacitor-calculator</x:v>
      </x:c>
      <x:c r="B443" s="18" t="str">
        <x:v>capacitor calculator</x:v>
      </x:c>
      <x:c r="C443" s="18" t="str">
        <x:v>tools.usefulverse.com</x:v>
      </x:c>
      <x:c r="D443" s="18" t="str">
        <x:v>https://tools.usefulverse.com/tools/capacitor-calculator/</x:v>
      </x:c>
      <x:c r="E443" s="22" t="n">
        <x:v>36</x:v>
      </x:c>
      <x:c r="F443" s="18" t="str">
        <x:v>Sí</x:v>
      </x:c>
      <x:c r="G443" s="18" t="str">
        <x:v>combine 1 to 20 capacitor values in series or parallel; convert the equivalent capacitance to a selected shared unit; optionally calculate total charge and stored energy from source voltage; show ideal voltage and charge distribution for each capacitor</x:v>
      </x:c>
      <x:c r="H443" s="18" t="str">
        <x:v>growth600 · commit 8dfcc147a3</x:v>
      </x:c>
    </x:row>
    <x:row r="444" ht="48" customHeight="1">
      <x:c r="A444" s="18" t="str">
        <x:v>rc-time-constant-calculator</x:v>
      </x:c>
      <x:c r="B444" s="18" t="str">
        <x:v>rc time constant calculator</x:v>
      </x:c>
      <x:c r="C444" s="18" t="str">
        <x:v>tools.usefulverse.com</x:v>
      </x:c>
      <x:c r="D444" s="18" t="str">
        <x:v>https://tools.usefulverse.com/tools/rc-time-constant-calculator/</x:v>
      </x:c>
      <x:c r="E444" s="22" t="n">
        <x:v>36</x:v>
      </x:c>
      <x:c r="F444" s="18" t="str">
        <x:v>Sí</x:v>
      </x:c>
      <x:c r="G444" s="18" t="str">
        <x:v>calculate τ = R·C with Ω/kΩ/MΩ and F/mF/μF/nF/pF units; calculate capacitor voltage at elapsed time for rising, falling or offset first-order step responses; solve time required to reach a voltage threshold strictly between initial and final values; report ideal 10–90% rise/fall time, fractional response and an accessible local SVG curve</x:v>
      </x:c>
      <x:c r="H444" s="18" t="str">
        <x:v>growth600 · commit 8dfcc147a3</x:v>
      </x:c>
    </x:row>
    <x:row r="445" ht="48" customHeight="1">
      <x:c r="A445" s="18" t="str">
        <x:v>waist-to-hip-ratio-calculator</x:v>
      </x:c>
      <x:c r="B445" s="18" t="str">
        <x:v>waist to hip ratio calculator</x:v>
      </x:c>
      <x:c r="C445" s="18" t="str">
        <x:v>tools.usefulverse.com</x:v>
      </x:c>
      <x:c r="D445" s="18" t="str">
        <x:v>https://tools.usefulverse.com/tools/waist-to-hip-ratio-calculator/</x:v>
      </x:c>
      <x:c r="E445" s="22" t="n">
        <x:v>36</x:v>
      </x:c>
      <x:c r="F445" s="18" t="str">
        <x:v>Sí</x:v>
      </x:c>
      <x:c r="G445" s="18" t="str">
        <x:v>divide a waist measurement by a hip measurement entered in the same selected unit; accept centimeters or inches and return the dimensionless ratio with the entered measurements; show the simple formula and a worked example, with no population-specific category or health-risk interpretation; calculate locally without uploading or saving measurement inputs</x:v>
      </x:c>
      <x:c r="H445" s="18" t="str">
        <x:v>growth600 · commit 8dfcc147a3</x:v>
      </x:c>
    </x:row>
    <x:row r="446" ht="48" customHeight="1">
      <x:c r="A446" s="18" t="str">
        <x:v>body-water-calculator</x:v>
      </x:c>
      <x:c r="B446" s="18" t="str">
        <x:v>body water calculator</x:v>
      </x:c>
      <x:c r="C446" s="18" t="str">
        <x:v>tools.usefulverse.com</x:v>
      </x:c>
      <x:c r="D446" s="18" t="str">
        <x:v>https://tools.usefulverse.com/tools/body-water-calculator/</x:v>
      </x:c>
      <x:c r="E446" s="22" t="n">
        <x:v>36</x:v>
      </x:c>
      <x:c r="F446" s="18" t="str">
        <x:v>Sí</x:v>
      </x:c>
      <x:c r="G446" s="18" t="str">
        <x:v>estimate adult total body water in litres from age, height and weight using either published Watson equation variant; show the equation family and an approximate fraction of entered body mass; accept metric or US customary height and weight units with transparent conversion; show the model limits and that the output is an estimate, not a measurement or hydration target</x:v>
      </x:c>
      <x:c r="H446" s="18" t="str">
        <x:v>growth600 · commit 8dfcc147a3</x:v>
      </x:c>
    </x:row>
    <x:row r="447" ht="48" customHeight="1">
      <x:c r="A447" s="18" t="str">
        <x:v>555-timer-calculator</x:v>
      </x:c>
      <x:c r="B447" s="18" t="str">
        <x:v>555 timer calculator</x:v>
      </x:c>
      <x:c r="C447" s="18" t="str">
        <x:v>tools.usefulverse.com</x:v>
      </x:c>
      <x:c r="D447" s="18" t="str">
        <x:v>https://tools.usefulverse.com/tools/555-timer-calculator/</x:v>
      </x:c>
      <x:c r="E447" s="22" t="n">
        <x:v>36</x:v>
      </x:c>
      <x:c r="F447" s="18" t="str">
        <x:v>Sí</x:v>
      </x:c>
      <x:c r="G447" s="18" t="str">
        <x:v>calculate NE555 astable high time, low time, period, frequency and two clearly distinguished duty percentages from RA, RB and capacitance; calculate a monostable output pulse width from resistance and capacitance; accept ohm, kΩ or MΩ and F, mF, μF, nF or pF, with localized numeric input; show the ideal equations, an example, component-tolerance caveats and the typical NE555 frequency guidance from the cited datasheet</x:v>
      </x:c>
      <x:c r="H447" s="18" t="str">
        <x:v>growth600 · commit 8dfcc147a3</x:v>
      </x:c>
    </x:row>
    <x:row r="448" ht="48" customHeight="1">
      <x:c r="A448" s="18" t="str">
        <x:v>fourier-series-calculator</x:v>
      </x:c>
      <x:c r="B448" s="18" t="str">
        <x:v>fourier series calculator</x:v>
      </x:c>
      <x:c r="C448" s="18" t="str">
        <x:v>tools.usefulverse.com</x:v>
      </x:c>
      <x:c r="D448" s="18" t="str">
        <x:v>https://tools.usefulverse.com/tools/fourier-series-calculator/</x:v>
      </x:c>
      <x:c r="E448" s="22" t="n">
        <x:v>36</x:v>
      </x:c>
      <x:c r="F448" s="18" t="str">
        <x:v>Sí</x:v>
      </x:c>
      <x:c r="G448" s="18" t="str">
        <x:v>estimate real Fourier coefficients from 4–128 equally spaced numeric samples spanning one period without repeating the endpoint; choose a bounded number of harmonics and report DC, fundamental frequency, cosine/sine coefficients, amplitude and phase; reconstruct and plot the selected finite series against the original samples, with RMS error evaluated at those sample points; load sine-wave and constant-signal examples and copy a readable coefficient report</x:v>
      </x:c>
      <x:c r="H448" s="18" t="str">
        <x:v>growth600 · commit 8dfcc147a3</x:v>
      </x:c>
    </x:row>
    <x:row r="449" ht="48" customHeight="1">
      <x:c r="A449" s="18" t="str">
        <x:v>modular-inverse-calculator</x:v>
      </x:c>
      <x:c r="B449" s="18" t="str">
        <x:v>modular inverse calculator</x:v>
      </x:c>
      <x:c r="C449" s="18" t="str">
        <x:v>tools.usefulverse.com</x:v>
      </x:c>
      <x:c r="D449" s="18" t="str">
        <x:v>https://tools.usefulverse.com/tools/modular-inverse-calculator/</x:v>
      </x:c>
      <x:c r="E449" s="22" t="n">
        <x:v>36</x:v>
      </x:c>
      <x:c r="F449" s="18" t="str">
        <x:v>Sí</x:v>
      </x:c>
      <x:c r="G449" s="18" t="str">
        <x:v>find the least nonnegative modular inverse for signed integers; explain existence using the greatest common divisor; show exact Euclidean quotients, remainders and Bezout coefficients; verify the result with multiplication modulo the entered modulus</x:v>
      </x:c>
      <x:c r="H449" s="18" t="str">
        <x:v>growth600 · commit 8dfcc147a3</x:v>
      </x:c>
    </x:row>
    <x:row r="450" ht="48" customHeight="1">
      <x:c r="A450" s="18" t="str">
        <x:v>a-b-test-calculator</x:v>
      </x:c>
      <x:c r="B450" s="18" t="str">
        <x:v>a b test calculator</x:v>
      </x:c>
      <x:c r="C450" s="18" t="str">
        <x:v>tools.usefulverse.com</x:v>
      </x:c>
      <x:c r="D450" s="18" t="str">
        <x:v>https://tools.usefulverse.com/tools/a-b-test-calculator/</x:v>
      </x:c>
      <x:c r="E450" s="22" t="n">
        <x:v>36</x:v>
      </x:c>
      <x:c r="F450" s="18" t="str">
        <x:v>Sí</x:v>
      </x:c>
      <x:c r="G450" s="18" t="str">
        <x:v>compare conversion rates from two independent groups; show absolute percentage-point difference and relative lift; show Wilson confidence intervals for each group and a Newcombe interval for the difference; run a two-sided pooled two-proportion z-test at a fixed 5% threshold and explain limits</x:v>
      </x:c>
      <x:c r="H450" s="18" t="str">
        <x:v>growth600 · commit 8dfcc147a3</x:v>
      </x:c>
    </x:row>
    <x:row r="451" ht="48" customHeight="1">
      <x:c r="A451" s="18" t="str">
        <x:v>investment-allocation-calculator</x:v>
      </x:c>
      <x:c r="B451" s="18" t="str">
        <x:v>portfolio allocation calculator</x:v>
      </x:c>
      <x:c r="C451" s="18" t="str">
        <x:v>tools.usefulverse.com</x:v>
      </x:c>
      <x:c r="D451" s="18" t="str">
        <x:v>https://tools.usefulverse.com/tools/investment-allocation-calculator/</x:v>
      </x:c>
      <x:c r="E451" s="22" t="n">
        <x:v>36</x:v>
      </x:c>
      <x:c r="F451" s="18" t="str">
        <x:v>Sí</x:v>
      </x:c>
      <x:c r="G451" s="18" t="str">
        <x:v>enter 2–8 portfolio holdings and user-chosen target percentages; estimate each holding’s target value from the entered portfolio total; optionally split a new contribution using those target weights; show each holding’s target-minus-current difference and a copyable summary</x:v>
      </x:c>
      <x:c r="H451" s="18" t="str">
        <x:v>growth600 · commit 8dfcc147a3</x:v>
      </x:c>
    </x:row>
    <x:row r="452" ht="48" customHeight="1">
      <x:c r="A452" s="18" t="str">
        <x:v>repeating-decimal-to-fraction</x:v>
      </x:c>
      <x:c r="B452" s="18" t="str">
        <x:v>repeating decimal to fraction calculator</x:v>
      </x:c>
      <x:c r="C452" s="18" t="str">
        <x:v>tools.usefulverse.com</x:v>
      </x:c>
      <x:c r="D452" s="18" t="str">
        <x:v>https://tools.usefulverse.com/tools/repeating-decimal-to-fraction/</x:v>
      </x:c>
      <x:c r="E452" s="22" t="n">
        <x:v>36</x:v>
      </x:c>
      <x:c r="F452" s="18" t="str">
        <x:v>Sí</x:v>
      </x:c>
      <x:c r="G452" s="18" t="str">
        <x:v>parse conventional parentheses notation for the repeating block; convert repeating decimals to exact reduced fractions using integer arithmetic; show the exact subtraction components and optional mixed-number form; bound whole, non-repeating and repeating digits to keep calculations safe</x:v>
      </x:c>
      <x:c r="H452" s="18" t="str">
        <x:v>growth600 · commit 8dfcc147a3</x:v>
      </x:c>
    </x:row>
    <x:row r="453" ht="48" customHeight="1">
      <x:c r="A453" s="18" t="str">
        <x:v>parametric-equation-calculator</x:v>
      </x:c>
      <x:c r="B453" s="18" t="str">
        <x:v>parametric graphing calculator</x:v>
      </x:c>
      <x:c r="C453" s="18" t="str">
        <x:v>tools.usefulverse.com</x:v>
      </x:c>
      <x:c r="D453" s="18" t="str">
        <x:v>https://tools.usefulverse.com/tools/parametric-equation-calculator/</x:v>
      </x:c>
      <x:c r="E453" s="22" t="n">
        <x:v>36</x:v>
      </x:c>
      <x:c r="F453" s="18" t="str">
        <x:v>Sí</x:v>
      </x:c>
      <x:c r="G453" s="18" t="str">
        <x:v>plot a curve from separate x(t) and y(t) expressions using a shared parameter t; set the parameter interval and sample resolution with bounded inputs; support arithmetic, powers, pi, e and a documented whitelist of common real functions without evaluating JavaScript; export sampled t, x and y coordinates as a local CSV file</x:v>
      </x:c>
      <x:c r="H453" s="18" t="str">
        <x:v>growth600 · commit 8dfcc147a3</x:v>
      </x:c>
    </x:row>
    <x:row r="454" ht="48" customHeight="1">
      <x:c r="A454" s="18" t="str">
        <x:v>singular-value-decomposition-calculator</x:v>
      </x:c>
      <x:c r="B454" s="18" t="str">
        <x:v>svd calculator</x:v>
      </x:c>
      <x:c r="C454" s="18" t="str">
        <x:v>tools.usefulverse.com</x:v>
      </x:c>
      <x:c r="D454" s="18" t="str">
        <x:v>https://tools.usefulverse.com/tools/singular-value-decomposition-calculator/</x:v>
      </x:c>
      <x:c r="E454" s="22" t="n">
        <x:v>36</x:v>
      </x:c>
      <x:c r="F454" s="18" t="str">
        <x:v>Sí</x:v>
      </x:c>
      <x:c r="G454" s="18" t="str">
        <x:v>decompose a bounded rectangular matrix A into compact U, singular values, and V transpose; estimate numerical rank with a documented floating-point tolerance; reconstruct the original matrix and report Frobenius residual and relative error; download decomposition components and reconstruction as CSV files locally</x:v>
      </x:c>
      <x:c r="H454" s="18" t="str">
        <x:v>growth600 · commit 8dfcc147a3</x:v>
      </x:c>
    </x:row>
    <x:row r="455" ht="48" customHeight="1">
      <x:c r="A455" s="18" t="str">
        <x:v>spearman-correlation-calculator</x:v>
      </x:c>
      <x:c r="B455" s="18" t="str">
        <x:v>spearman correlation calculator</x:v>
      </x:c>
      <x:c r="C455" s="18" t="str">
        <x:v>tools.usefulverse.com</x:v>
      </x:c>
      <x:c r="D455" s="18" t="str">
        <x:v>https://tools.usefulverse.com/tools/spearman-correlation-calculator/</x:v>
      </x:c>
      <x:c r="E455" s="22" t="n">
        <x:v>36</x:v>
      </x:c>
      <x:c r="F455" s="18" t="str">
        <x:v>Sí</x:v>
      </x:c>
      <x:c r="G455" s="18" t="str">
        <x:v>calculate Spearman rho as Pearson correlation applied to paired ranks; handle tied values by assigning their average ranks; show each input pair and its ranks for transparent checking; export the local result table as CSV</x:v>
      </x:c>
      <x:c r="H455" s="18" t="str">
        <x:v>growth600 · commit 8dfcc147a3</x:v>
      </x:c>
    </x:row>
    <x:row r="456" ht="48" customHeight="1">
      <x:c r="A456" s="18" t="str">
        <x:v>wilcoxon-signed-rank-test-calculator</x:v>
      </x:c>
      <x:c r="B456" s="18" t="str">
        <x:v>wilcoxon signed rank test calculator</x:v>
      </x:c>
      <x:c r="C456" s="18" t="str">
        <x:v>tools.usefulverse.com</x:v>
      </x:c>
      <x:c r="D456" s="18" t="str">
        <x:v>https://tools.usefulverse.com/tools/wilcoxon-signed-rank-test-calculator/</x:v>
      </x:c>
      <x:c r="E456" s="22" t="n">
        <x:v>36</x:v>
      </x:c>
      <x:c r="F456" s="18" t="str">
        <x:v>Sí</x:v>
      </x:c>
      <x:c r="G456" s="18" t="str">
        <x:v>compare paired before/after values with the two-sided Wilcoxon signed-rank test; exclude zero differences and assign average ranks to tied absolute differences; use an exact sign-flip distribution for up to 25 nonzero pairs and a continuity-corrected normal approximation above that threshold; show positive and negative rank sums, zero/tied counts, p-value, method, and a local CSV of ranked pairs</x:v>
      </x:c>
      <x:c r="H456" s="18" t="str">
        <x:v>growth600 · commit 8dfcc147a3</x:v>
      </x:c>
    </x:row>
    <x:row r="457" ht="48" customHeight="1">
      <x:c r="A457" s="18" t="str">
        <x:v>json-diff</x:v>
      </x:c>
      <x:c r="B457" s="18" t="str">
        <x:v>json diff</x:v>
      </x:c>
      <x:c r="C457" s="18" t="str">
        <x:v>tools.usefulverse.com</x:v>
      </x:c>
      <x:c r="D457" s="18" t="str">
        <x:v>https://tools.usefulverse.com/tools/json-diff/</x:v>
      </x:c>
      <x:c r="E457" s="22" t="n">
        <x:v>36</x:v>
      </x:c>
      <x:c r="F457" s="18" t="str">
        <x:v>Sí</x:v>
      </x:c>
      <x:c r="G457" s="18" t="str">
        <x:v>compare parsed JSON structures while ignoring object key order; compare arrays by position or match object records by a unique string or number property; list added, removed and changed values with readable paths; copy the summary or export a local JSON Patch document</x:v>
      </x:c>
      <x:c r="H457" s="18" t="str">
        <x:v>growth600 · commit 8dfcc147a3</x:v>
      </x:c>
    </x:row>
    <x:row r="458" ht="48" customHeight="1">
      <x:c r="A458" s="18" t="str">
        <x:v>text-to-binary-converter</x:v>
      </x:c>
      <x:c r="B458" s="18" t="str">
        <x:v>binary to text converter</x:v>
      </x:c>
      <x:c r="C458" s="18" t="str">
        <x:v>tools.usefulverse.com</x:v>
      </x:c>
      <x:c r="D458" s="18" t="str">
        <x:v>https://tools.usefulverse.com/tools/text-to-binary-converter/</x:v>
      </x:c>
      <x:c r="E458" s="22" t="n">
        <x:v>36</x:v>
      </x:c>
      <x:c r="F458" s="18" t="str">
        <x:v>Sí</x:v>
      </x:c>
      <x:c r="G458" s="18" t="str">
        <x:v>encode text as exact UTF-8 bytes displayed as eight-bit binary groups; decode whitespace-separated or compact complete binary bytes as strict UTF-8 text; preserve accented characters, combining sequences, line breaks, emoji and a leading byte-order mark; copy or download the local conversion result and optionally group output bytes with spaces</x:v>
      </x:c>
      <x:c r="H458" s="18" t="str">
        <x:v>growth600 · commit 8dfcc147a3</x:v>
      </x:c>
    </x:row>
    <x:row r="459" ht="48" customHeight="1">
      <x:c r="A459" s="18" t="str">
        <x:v>certificate-decoder</x:v>
      </x:c>
      <x:c r="B459" s="18" t="str">
        <x:v>certificate decoder</x:v>
      </x:c>
      <x:c r="C459" s="18" t="str">
        <x:v>tools.usefulverse.com</x:v>
      </x:c>
      <x:c r="D459" s="18" t="str">
        <x:v>https://tools.usefulverse.com/tools/certificate-decoder/</x:v>
      </x:c>
      <x:c r="E459" s="22" t="n">
        <x:v>36</x:v>
      </x:c>
      <x:c r="F459" s="18" t="str">
        <x:v>Sí</x:v>
      </x:c>
      <x:c r="G459" s="18" t="str">
        <x:v>decode one local X.509 PEM/base64 certificate or select a DER file; show subject and issuer names, serial, UTC validity dates and common DNS, email, URI and IP subject alternative names; compute a SHA-256 fingerprint of the exact certificate bytes; copy a plain-text summary without uploading or storing the certificate</x:v>
      </x:c>
      <x:c r="H459" s="18" t="str">
        <x:v>growth600 · commit 8dfcc147a3</x:v>
      </x:c>
    </x:row>
    <x:row r="460" ht="48" customHeight="1">
      <x:c r="A460" s="18" t="str">
        <x:v>json-to-xml-converter</x:v>
      </x:c>
      <x:c r="B460" s="18" t="str">
        <x:v>xml to json converter</x:v>
      </x:c>
      <x:c r="C460" s="18" t="str">
        <x:v>tools.usefulverse.com</x:v>
      </x:c>
      <x:c r="D460" s="18" t="str">
        <x:v>https://tools.usefulverse.com/tools/json-to-xml-converter/</x:v>
      </x:c>
      <x:c r="E460" s="22" t="n">
        <x:v>36</x:v>
      </x:c>
      <x:c r="F460" s="18" t="str">
        <x:v>Sí</x:v>
      </x:c>
      <x:c r="G460" s="18" t="str">
        <x:v>convert JSON to XML and XML to JSON locally in either direction; map object properties to elements, arrays to repeated elements, and repeated child names back to arrays; map JSON @attribute and #text keys to XML attributes and text using a selectable root name; copy or download JSON/XML output with readable indentation and clear error messages</x:v>
      </x:c>
      <x:c r="H460" s="18" t="str">
        <x:v>growth600 · commit 8dfcc147a3</x:v>
      </x:c>
    </x:row>
    <x:row r="461" ht="48" customHeight="1">
      <x:c r="A461" s="18" t="str">
        <x:v>json-to-excel</x:v>
      </x:c>
      <x:c r="B461" s="18" t="str">
        <x:v>json to excel</x:v>
      </x:c>
      <x:c r="C461" s="18" t="str">
        <x:v>tools.usefulverse.com</x:v>
      </x:c>
      <x:c r="D461" s="18" t="str">
        <x:v>https://tools.usefulverse.com/tools/json-to-excel/</x:v>
      </x:c>
      <x:c r="E461" s="22" t="n">
        <x:v>36</x:v>
      </x:c>
      <x:c r="F461" s="18" t="str">
        <x:v>Sí</x:v>
      </x:c>
      <x:c r="G461" s="18" t="str">
        <x:v>convert a top-level JSON array or choose a named array inside an object, with a one-row root-object option; flatten nested objects into escaped dotted column paths and keep nested arrays as readable JSON text; preview a bounded sample and create one local XLSX worksheet without running formula-like strings; preserve numeric-looking JSON strings such as 001 as text and keep JSON numeric values numeric</x:v>
      </x:c>
      <x:c r="H461" s="18" t="str">
        <x:v>growth600 · commit 8dfcc147a3</x:v>
      </x:c>
    </x:row>
    <x:row r="462" ht="48" customHeight="1">
      <x:c r="A462" s="18" t="str">
        <x:v>binary-base64-tool</x:v>
      </x:c>
      <x:c r="B462" s="18" t="str">
        <x:v>base64 image encoder</x:v>
      </x:c>
      <x:c r="C462" s="18" t="str">
        <x:v>tools.usefulverse.com</x:v>
      </x:c>
      <x:c r="D462" s="18" t="str">
        <x:v>https://tools.usefulverse.com/tools/binary-base64-tool/</x:v>
      </x:c>
      <x:c r="E462" s="22" t="n">
        <x:v>36</x:v>
      </x:c>
      <x:c r="F462" s="18" t="str">
        <x:v>Sí</x:v>
      </x:c>
      <x:c r="G462" s="18" t="str">
        <x:v>read one selected local file and encode its bytes as Base64 or a MIME-labelled data URI; show the detected MIME type, byte length and output size before copying or downloading text; preview common raster images from a local object URL without interpreting SVG or HTML as a preview; switch between raw Base64 and data-URI output without rereading or uploading the file</x:v>
      </x:c>
      <x:c r="H462" s="18" t="str">
        <x:v>growth600 · commit 8dfcc147a3</x:v>
      </x:c>
    </x:row>
    <x:row r="463" ht="48" customHeight="1">
      <x:c r="A463" s="18" t="str">
        <x:v>csv-editor</x:v>
      </x:c>
      <x:c r="B463" s="18" t="str">
        <x:v>csv editor</x:v>
      </x:c>
      <x:c r="C463" s="18" t="str">
        <x:v>tools.usefulverse.com</x:v>
      </x:c>
      <x:c r="D463" s="18" t="str">
        <x:v>https://tools.usefulverse.com/tools/csv-editor/</x:v>
      </x:c>
      <x:c r="E463" s="22" t="n">
        <x:v>36</x:v>
      </x:c>
      <x:c r="F463" s="18" t="str">
        <x:v>Sí</x:v>
      </x:c>
      <x:c r="G463" s="18" t="str">
        <x:v>paste CSV text or open one local CSV file and detect comma, semicolon, tab or pipe delimiters; choose whether the first record is a header and edit cells or column names in a paginated grid; assign a review type (text, decimal number, ISO date or Boolean) to each column and flag non-matching non-empty cells without converting their values; search rows, add or remove rows and columns, and undo or redo up to 50 local edits; export as correctly escaped UTF-8 CSV with a selected delimiter and optional BOM</x:v>
      </x:c>
      <x:c r="H463" s="18" t="str">
        <x:v>growth600 · commit 8dfcc147a3</x:v>
      </x:c>
    </x:row>
    <x:row r="464" ht="48" customHeight="1">
      <x:c r="A464" s="18" t="str">
        <x:v>json-model-generator</x:v>
      </x:c>
      <x:c r="B464" s="18" t="str">
        <x:v>json to csharp</x:v>
      </x:c>
      <x:c r="C464" s="18" t="str">
        <x:v>tools.usefulverse.com</x:v>
      </x:c>
      <x:c r="D464" s="18" t="str">
        <x:v>https://tools.usefulverse.com/tools/json-model-generator/</x:v>
      </x:c>
      <x:c r="E464" s="22" t="n">
        <x:v>36</x:v>
      </x:c>
      <x:c r="F464" s="18" t="str">
        <x:v>Sí</x:v>
      </x:c>
      <x:c r="G464" s="18" t="str">
        <x:v>infer TypeScript interfaces, C# classes and Java model classes from pasted JSON; merge object samples and arrays, mark fields missing from some records as optional, and preserve observed nullability; let the user choose a language and a bounded root type name, then copy or download generated source; keep input and generated models in the browser without validating or sending the JSON to a server</x:v>
      </x:c>
      <x:c r="H464" s="18" t="str">
        <x:v>growth600 · commit 8dfcc147a3</x:v>
      </x:c>
    </x:row>
    <x:row r="465" ht="48" customHeight="1">
      <x:c r="A465" s="18" t="str">
        <x:v>har-viewer</x:v>
      </x:c>
      <x:c r="B465" s="18" t="str">
        <x:v>har analyzer</x:v>
      </x:c>
      <x:c r="C465" s="18" t="str">
        <x:v>tools.usefulverse.com</x:v>
      </x:c>
      <x:c r="D465" s="18" t="str">
        <x:v>https://tools.usefulverse.com/tools/har-viewer/</x:v>
      </x:c>
      <x:c r="E465" s="22" t="n">
        <x:v>36</x:v>
      </x:c>
      <x:c r="F465" s="18" t="str">
        <x:v>Sí</x:v>
      </x:c>
      <x:c r="G465" s="18" t="str">
        <x:v>read HAR 1.2 or JSON captures from a local file or pasted text without uploading; summarize request count, HTTP errors, response content size, summed request time and slowest request; filter by sanitized URL, method and successful/error status; show a compact chronological waterfall for up to 100 matching entries at once</x:v>
      </x:c>
      <x:c r="H465" s="18" t="str">
        <x:v>growth600 · commit 8dfcc147a3</x:v>
      </x:c>
    </x:row>
    <x:row r="466" ht="48" customHeight="1">
      <x:c r="A466" s="18" t="str">
        <x:v>robots-txt-tester</x:v>
      </x:c>
      <x:c r="B466" s="18" t="str">
        <x:v>robots txt tester</x:v>
      </x:c>
      <x:c r="C466" s="18" t="str">
        <x:v>tools.usefulverse.com</x:v>
      </x:c>
      <x:c r="D466" s="18" t="str">
        <x:v>https://tools.usefulverse.com/tools/robots-txt-tester/</x:v>
      </x:c>
      <x:c r="E466" s="22" t="n">
        <x:v>36</x:v>
      </x:c>
      <x:c r="F466" s="18" t="str">
        <x:v>Sí</x:v>
      </x:c>
      <x:c r="G466" s="18" t="str">
        <x:v>paste robots.txt rules and enter a crawler product token plus up to 100 target URLs; show the selected crawler group and each URL decision with its winning Allow or Disallow rule; report malformed lines and unsupported directives without fetching any URL or file; test rules locally with bounded input and a local example</x:v>
      </x:c>
      <x:c r="H466" s="18" t="str">
        <x:v>growth600 · commit 8dfcc147a3</x:v>
      </x:c>
    </x:row>
    <x:row r="467" ht="48" customHeight="1">
      <x:c r="A467" s="18" t="str">
        <x:v>chinese-remainder-theorem-calculator</x:v>
      </x:c>
      <x:c r="B467" s="18" t="str">
        <x:v>chinese remainder theorem calculator</x:v>
      </x:c>
      <x:c r="C467" s="18" t="str">
        <x:v>tools.usefulverse.com</x:v>
      </x:c>
      <x:c r="D467" s="18" t="str">
        <x:v>https://tools.usefulverse.com/tools/chinese-remainder-theorem-calculator/</x:v>
      </x:c>
      <x:c r="E467" s="22" t="n">
        <x:v>36</x:v>
      </x:c>
      <x:c r="F467" s="18" t="str">
        <x:v>Sí</x:v>
      </x:c>
      <x:c r="G467" s="18" t="str">
        <x:v>solve 2–20 integer congruences using exact BigInt arithmetic; combine coprime or compatible non-coprime moduli and detect incompatible systems; show the least nonnegative solution and combined modulus, with intermediate combinations; accept negative and Arabic/Persian digit inputs and copy a local result</x:v>
      </x:c>
      <x:c r="H467" s="18" t="str">
        <x:v>growth600 · commit 8dfcc147a3</x:v>
      </x:c>
    </x:row>
    <x:row r="468" ht="48" customHeight="1">
      <x:c r="A468" s="18" t="str">
        <x:v>effective-interest-rate-calculator</x:v>
      </x:c>
      <x:c r="B468" s="18" t="str">
        <x:v>effective interest rate calculator</x:v>
      </x:c>
      <x:c r="C468" s="18" t="str">
        <x:v>tools.usefulverse.com</x:v>
      </x:c>
      <x:c r="D468" s="18" t="str">
        <x:v>https://tools.usefulverse.com/tools/effective-interest-rate-calculator/</x:v>
      </x:c>
      <x:c r="E468" s="22" t="n">
        <x:v>36</x:v>
      </x:c>
      <x:c r="F468" s="18" t="str">
        <x:v>Sí</x:v>
      </x:c>
      <x:c r="G468" s="18" t="str">
        <x:v>convert a user-entered nominal APR to effective annual APY for annual, semiannual, quarterly, monthly, twice-monthly, biweekly, weekly, daily or continuous compounding; perform the inverse APY-to-nominal-APR conversion using the same compounding convention; show the periodic rate for discrete compounding and the equation used; keep the tool focused on rate equivalence rather than projecting an account balance or loan schedule</x:v>
      </x:c>
      <x:c r="H468" s="18" t="str">
        <x:v>growth600 · commit 8dfcc147a3</x:v>
      </x:c>
    </x:row>
    <x:row r="469" ht="48" customHeight="1">
      <x:c r="A469" s="18" t="str">
        <x:v>interval-timer</x:v>
      </x:c>
      <x:c r="B469" s="18" t="str">
        <x:v>interval timer</x:v>
      </x:c>
      <x:c r="C469" s="18" t="str">
        <x:v>tools.usefulverse.com</x:v>
      </x:c>
      <x:c r="D469" s="18" t="str">
        <x:v>https://tools.usefulverse.com/tools/interval-timer/</x:v>
      </x:c>
      <x:c r="E469" s="22" t="n">
        <x:v>36</x:v>
      </x:c>
      <x:c r="F469" s="18" t="str">
        <x:v>Sí</x:v>
      </x:c>
      <x:c r="G469" s="18" t="str">
        <x:v>run configurable work and rest phases with an optional preparation countdown and up to 99 rounds; include named HIIT and Tabata presets while keeping all interval lengths editable; start, pause, resume and reset without accumulating timer drift, deriving phase and remaining time from a monotonic session timestamp; play optional phase cues and a distinct finish chime only after the user starts the timer; explain browser background and sleep limits</x:v>
      </x:c>
      <x:c r="H469" s="18" t="str">
        <x:v>growth600 · commit 8dfcc147a3</x:v>
      </x:c>
    </x:row>
    <x:row r="470" ht="48" customHeight="1">
      <x:c r="A470" s="18" t="str">
        <x:v>logic-grid-puzzle</x:v>
      </x:c>
      <x:c r="B470" s="18" t="str">
        <x:v>logic grid puzzle</x:v>
      </x:c>
      <x:c r="C470" s="18" t="str">
        <x:v>tools.usefulverse.com</x:v>
      </x:c>
      <x:c r="D470" s="18" t="str">
        <x:v>https://tools.usefulverse.com/tools/logic-grid-puzzle/</x:v>
      </x:c>
      <x:c r="E470" s="22" t="n">
        <x:v>36</x:v>
      </x:c>
      <x:c r="F470" s="18" t="str">
        <x:v>Sí</x:v>
      </x:c>
      <x:c r="G470" s="18" t="str">
        <x:v>generate a fresh locally randomized four-category matching puzzle at three difficulty settings; present original, explicit match/not-match clues and six accessible 4×4 relationship grids; let players mark, check, clear and request one-cell hints; exhaustively verify a single assignment before showing a puzzle and never claim uniqueness if the bounded solver cannot prove it</x:v>
      </x:c>
      <x:c r="H470" s="18" t="str">
        <x:v>growth600 · commit 8dfcc147a3</x:v>
      </x:c>
    </x:row>
    <x:row r="471" ht="48" customHeight="1">
      <x:c r="A471" s="18" t="str">
        <x:v>markdown-editor</x:v>
      </x:c>
      <x:c r="B471" s="18" t="str">
        <x:v>markdown editor</x:v>
      </x:c>
      <x:c r="C471" s="18" t="str">
        <x:v>tools.usefulverse.com</x:v>
      </x:c>
      <x:c r="D471" s="18" t="str">
        <x:v>https://tools.usefulverse.com/tools/markdown-editor/</x:v>
      </x:c>
      <x:c r="E471" s="22" t="n">
        <x:v>36</x:v>
      </x:c>
      <x:c r="F471" s="18" t="str">
        <x:v>Sí</x:v>
      </x:c>
      <x:c r="G471" s="18" t="str">
        <x:v>edit Markdown with a focused writing surface, toolbar insertions, custom undo and redo, and a rendered preview; insert headings, emphasis, links, code, quotes, ordered and unordered lists, task lists, and tables at the current selection; optionally autosave a bounded draft to local browser storage and restore it on this device; copy or download a Markdown file and show live word and character counts</x:v>
      </x:c>
      <x:c r="H471" s="18" t="str">
        <x:v>growth600 · commit 8dfcc147a3</x:v>
      </x:c>
    </x:row>
    <x:row r="472" ht="48" customHeight="1">
      <x:c r="A472" s="18" t="str">
        <x:v>julian-date-converter</x:v>
      </x:c>
      <x:c r="B472" s="18" t="str">
        <x:v>julian date converter</x:v>
      </x:c>
      <x:c r="C472" s="18" t="str">
        <x:v>tools.usefulverse.com</x:v>
      </x:c>
      <x:c r="D472" s="18" t="str">
        <x:v>https://tools.usefulverse.com/tools/julian-date-converter/</x:v>
      </x:c>
      <x:c r="E472" s="22" t="n">
        <x:v>36</x:v>
      </x:c>
      <x:c r="F472" s="18" t="str">
        <x:v>Sí</x:v>
      </x:c>
      <x:c r="G472" s="18" t="str">
        <x:v>convert Gregorian UTC date and time to Julian Date and Modified Julian Date; convert JD or MJD back to UTC with millisecond rounding; show UTC day fraction, calendar convention, and time scale; validate leap years, dates, ranges, and unsupported leap seconds explicitly</x:v>
      </x:c>
      <x:c r="H472" s="18" t="str">
        <x:v>growth600 · commit 8dfcc147a3</x:v>
      </x:c>
    </x:row>
    <x:row r="473" ht="48" customHeight="1">
      <x:c r="A473" s="18" t="str">
        <x:v>529-calculator</x:v>
      </x:c>
      <x:c r="B473" s="18" t="str">
        <x:v>529 calculator</x:v>
      </x:c>
      <x:c r="C473" s="18" t="str">
        <x:v>tools.usefulverse.com</x:v>
      </x:c>
      <x:c r="D473" s="18" t="str">
        <x:v>https://tools.usefulverse.com/tools/529-calculator/</x:v>
      </x:c>
      <x:c r="E473" s="22" t="n">
        <x:v>36</x:v>
      </x:c>
      <x:c r="F473" s="18" t="str">
        <x:v>Sí</x:v>
      </x:c>
      <x:c r="G473" s="18" t="str">
        <x:v>project user-entered annual college costs to enrollment using tuition inflation and study duration; subtract a fixed annual scholarship estimate, capped at projected tuition; project current savings and end-of-month contributions using a user-entered effective annual return; estimate the monthly contribution or amount needed today to meet the net college target</x:v>
      </x:c>
      <x:c r="H473" s="18" t="str">
        <x:v>growth600 · commit 8dfcc147a3</x:v>
      </x:c>
    </x:row>
    <x:row r="474" ht="48" customHeight="1">
      <x:c r="A474" s="18" t="str">
        <x:v>reverse-mortgage-calculator</x:v>
      </x:c>
      <x:c r="B474" s="18" t="str">
        <x:v>reverse mortgage calculator</x:v>
      </x:c>
      <x:c r="C474" s="18" t="str">
        <x:v>tools.usefulverse.com</x:v>
      </x:c>
      <x:c r="D474" s="18" t="str">
        <x:v>https://tools.usefulverse.com/tools/reverse-mortgage-calculator/</x:v>
      </x:c>
      <x:c r="E474" s="22" t="n">
        <x:v>36</x:v>
      </x:c>
      <x:c r="F474" s="18" t="str">
        <x:v>Sí</x:v>
      </x:c>
      <x:c r="G474" s="18" t="str">
        <x:v>project a user-entered opening balance with optional financed upfront fees, monthly draws, servicing fees and nominal annual interest; show yearly balance checkpoints, accrued interest, total advances and an optional home-value/equity scenario; let visitors change assumptions without submitting financial or property data to a service</x:v>
      </x:c>
      <x:c r="H474" s="18" t="str">
        <x:v>growth600 · commit 8dfcc147a3</x:v>
      </x:c>
    </x:row>
    <x:row r="475" ht="48" customHeight="1">
      <x:c r="A475" s="18" t="str">
        <x:v>car-depreciation-calculator</x:v>
      </x:c>
      <x:c r="B475" s="18" t="str">
        <x:v>car depreciation calculator</x:v>
      </x:c>
      <x:c r="C475" s="18" t="str">
        <x:v>tools.usefulverse.com</x:v>
      </x:c>
      <x:c r="D475" s="18" t="str">
        <x:v>https://tools.usefulverse.com/tools/car-depreciation-calculator/</x:v>
      </x:c>
      <x:c r="E475" s="22" t="n">
        <x:v>36</x:v>
      </x:c>
      <x:c r="F475" s="18" t="str">
        <x:v>Sí</x:v>
      </x:c>
      <x:c r="G475" s="18" t="str">
        <x:v>estimate a current vehicle-value scenario from purchase price, age, odometer and user-selected depreciation rates; project annual values using separate constant age-based and distance-based rates; show estimated loss and future odometer in a selectable distance unit and display currency</x:v>
      </x:c>
      <x:c r="H475" s="18" t="str">
        <x:v>growth600 · commit 8dfcc147a3</x:v>
      </x:c>
    </x:row>
    <x:row r="476" ht="48" customHeight="1">
      <x:c r="A476" s="18" t="str">
        <x:v>css-border-radius-generator</x:v>
      </x:c>
      <x:c r="B476" s="18" t="str">
        <x:v>border radius generator</x:v>
      </x:c>
      <x:c r="C476" s="18" t="str">
        <x:v>tools.usefulverse.com</x:v>
      </x:c>
      <x:c r="D476" s="18" t="str">
        <x:v>https://tools.usefulverse.com/tools/css-border-radius-generator/</x:v>
      </x:c>
      <x:c r="E476" s="22" t="n">
        <x:v>36</x:v>
      </x:c>
      <x:c r="F476" s="18" t="str">
        <x:v>Sí</x:v>
      </x:c>
      <x:c r="G476" s="18" t="str">
        <x:v>set four independent horizontal and vertical corner radii in pixels or percentages; link all corners to create a uniform radius and preview changes immediately; copy or download the CSS declaration with an accessible keyboard-operated form; show valid high-radius values without silently clamping them when CSS layout normalizes overlapping corners</x:v>
      </x:c>
      <x:c r="H476" s="18" t="str">
        <x:v>growth600 · commit 8dfcc147a3</x:v>
      </x:c>
    </x:row>
    <x:row r="477" ht="48" customHeight="1">
      <x:c r="A477" s="18" t="str">
        <x:v>graphql-formatter</x:v>
      </x:c>
      <x:c r="B477" s="18" t="str">
        <x:v>graphql formatter</x:v>
      </x:c>
      <x:c r="C477" s="18" t="str">
        <x:v>tools.usefulverse.com</x:v>
      </x:c>
      <x:c r="D477" s="18" t="str">
        <x:v>https://tools.usefulverse.com/tools/graphql-formatter/</x:v>
      </x:c>
      <x:c r="E477" s="22" t="n">
        <x:v>36</x:v>
      </x:c>
      <x:c r="F477" s="18" t="str">
        <x:v>Sí</x:v>
      </x:c>
      <x:c r="G477" s="18" t="str">
        <x:v>format GraphQL queries, mutations, subscriptions and SDL definitions with a real GraphQL parser; show syntax errors with line and column when available; copy or download formatted source without executing the operation; load the pinned formatter locally only after the visitor requests formatting</x:v>
      </x:c>
      <x:c r="H477" s="18" t="str">
        <x:v>growth600 · commit 8dfcc147a3</x:v>
      </x:c>
    </x:row>
    <x:row r="478" ht="48" customHeight="1">
      <x:c r="A478" s="18" t="str">
        <x:v>sunrise-sunset-calculator</x:v>
      </x:c>
      <x:c r="B478" s="18" t="str">
        <x:v>sunrise sunset calculator</x:v>
      </x:c>
      <x:c r="C478" s="18" t="str">
        <x:v>tools.usefulverse.com</x:v>
      </x:c>
      <x:c r="D478" s="18" t="str">
        <x:v>https://tools.usefulverse.com/tools/sunrise-sunset-calculator/</x:v>
      </x:c>
      <x:c r="E478" s="22" t="n">
        <x:v>36</x:v>
      </x:c>
      <x:c r="F478" s="18" t="str">
        <x:v>Sí</x:v>
      </x:c>
      <x:c r="G478" s="18" t="str">
        <x:v>calculate approximate sunrise, sunset, civil dawn, and civil dusk for a date and coordinates; accept an IANA time zone and return local event times; identify polar dates with no event rather than inventing a time</x:v>
      </x:c>
      <x:c r="H478" s="18" t="str">
        <x:v>growth600 · commit 8dfcc147a3</x:v>
      </x:c>
    </x:row>
    <x:row r="479" ht="48" customHeight="1">
      <x:c r="A479" s="18" t="str">
        <x:v>moonrise-moonset-calculator</x:v>
      </x:c>
      <x:c r="B479" s="18" t="str">
        <x:v>moonrise calculator</x:v>
      </x:c>
      <x:c r="C479" s="18" t="str">
        <x:v>tools.usefulverse.com</x:v>
      </x:c>
      <x:c r="D479" s="18" t="str">
        <x:v>https://tools.usefulverse.com/tools/moonrise-moonset-calculator/</x:v>
      </x:c>
      <x:c r="E479" s="22" t="n">
        <x:v>36</x:v>
      </x:c>
      <x:c r="F479" s="18" t="str">
        <x:v>Sí</x:v>
      </x:c>
      <x:c r="G479" s="18" t="str">
        <x:v>estimate moonrise and moonset for a date, coordinates, and time zone; show no event when the moon does not cross the horizon that day; use an explicit approximate low-precision lunar model</x:v>
      </x:c>
      <x:c r="H479" s="18" t="str">
        <x:v>growth600 · commit 8dfcc147a3</x:v>
      </x:c>
    </x:row>
    <x:row r="480" ht="48" customHeight="1">
      <x:c r="A480" s="18" t="str">
        <x:v>persian-calendar-converter</x:v>
      </x:c>
      <x:c r="B480" s="18" t="str">
        <x:v>persian calendar converter</x:v>
      </x:c>
      <x:c r="C480" s="18" t="str">
        <x:v>tools.usefulverse.com</x:v>
      </x:c>
      <x:c r="D480" s="18" t="str">
        <x:v>https://tools.usefulverse.com/tools/persian-calendar-converter/</x:v>
      </x:c>
      <x:c r="E480" s="22" t="n">
        <x:v>36</x:v>
      </x:c>
      <x:c r="F480" s="18" t="str">
        <x:v>Sí</x:v>
      </x:c>
      <x:c r="G480" s="18" t="str">
        <x:v>convert Gregorian dates to the browser Intl Persian calendar; convert valid Persian year-month-day dates back by matching calendar dates; reject dates absent from the selected Persian year</x:v>
      </x:c>
      <x:c r="H480" s="18" t="str">
        <x:v>growth600 · commit 8dfcc147a3</x:v>
      </x:c>
    </x:row>
    <x:row r="481" ht="48" customHeight="1">
      <x:c r="A481" s="18" t="str">
        <x:v>project-risk-matrix</x:v>
      </x:c>
      <x:c r="B481" s="18" t="str">
        <x:v>project risk matrix</x:v>
      </x:c>
      <x:c r="C481" s="18" t="str">
        <x:v>tools.usefulverse.com</x:v>
      </x:c>
      <x:c r="D481" s="18" t="str">
        <x:v>https://tools.usefulverse.com/tools/project-risk-matrix/</x:v>
      </x:c>
      <x:c r="E481" s="22" t="n">
        <x:v>36</x:v>
      </x:c>
      <x:c r="F481" s="18" t="str">
        <x:v>Sí</x:v>
      </x:c>
      <x:c r="G481" s="18" t="str">
        <x:v>score named risks on user-selected likelihood and impact scales from 1 to 5; sort and classify scores as low, medium, or high using visible fixed bands; keep risk entries in the current browser session only</x:v>
      </x:c>
      <x:c r="H481" s="18" t="str">
        <x:v>growth600 · commit 8dfcc147a3</x:v>
      </x:c>
    </x:row>
    <x:row r="482" ht="48" customHeight="1">
      <x:c r="A482" s="18" t="str">
        <x:v>org-chart-maker</x:v>
      </x:c>
      <x:c r="B482" s="18" t="str">
        <x:v>org chart maker</x:v>
      </x:c>
      <x:c r="C482" s="18" t="str">
        <x:v>tools.usefulverse.com</x:v>
      </x:c>
      <x:c r="D482" s="18" t="str">
        <x:v>https://tools.usefulverse.com/tools/org-chart-maker/</x:v>
      </x:c>
      <x:c r="E482" s="22" t="n">
        <x:v>36</x:v>
      </x:c>
      <x:c r="F482" s="18" t="str">
        <x:v>Sí</x:v>
      </x:c>
      <x:c r="G482" s="18" t="str">
        <x:v>turn person and manager rows into a hierarchy; detect missing managers, duplicate names, disconnected nodes, and reporting cycles; render a readable tree and allow copying or exporting the structure</x:v>
      </x:c>
      <x:c r="H482" s="18" t="str">
        <x:v>growth600 · commit 8dfcc147a3</x:v>
      </x:c>
    </x:row>
    <x:row r="483" ht="48" customHeight="1">
      <x:c r="A483" s="18" t="str">
        <x:v>sankey-diagram-generator</x:v>
      </x:c>
      <x:c r="B483" s="18" t="str">
        <x:v>sankey diagram generator</x:v>
      </x:c>
      <x:c r="C483" s="18" t="str">
        <x:v>tools.usefulverse.com</x:v>
      </x:c>
      <x:c r="D483" s="18" t="str">
        <x:v>https://tools.usefulverse.com/tools/sankey-diagram-generator/</x:v>
      </x:c>
      <x:c r="E483" s="22" t="n">
        <x:v>36</x:v>
      </x:c>
      <x:c r="F483" s="18" t="str">
        <x:v>Sí</x:v>
      </x:c>
      <x:c r="G483" s="18" t="str">
        <x:v>create a flow diagram from source, destination, and non-negative value rows; aggregate node totals and flag imbalanced flows for review; export a self-contained SVG diagram</x:v>
      </x:c>
      <x:c r="H483" s="18" t="str">
        <x:v>growth600 · commit 8dfcc147a3</x:v>
      </x:c>
    </x:row>
    <x:row r="484" ht="48" customHeight="1">
      <x:c r="A484" s="18" t="str">
        <x:v>event-budget-calculator</x:v>
      </x:c>
      <x:c r="B484" s="18" t="str">
        <x:v>event budget calculator</x:v>
      </x:c>
      <x:c r="C484" s="18" t="str">
        <x:v>tools.usefulverse.com</x:v>
      </x:c>
      <x:c r="D484" s="18" t="str">
        <x:v>https://tools.usefulverse.com/tools/event-budget-calculator/</x:v>
      </x:c>
      <x:c r="E484" s="22" t="n">
        <x:v>36</x:v>
      </x:c>
      <x:c r="F484" s="18" t="str">
        <x:v>Sí</x:v>
      </x:c>
      <x:c r="G484" s="18" t="str">
        <x:v>compare planned and actual amounts by event category; calculate total budget, actual spend, and remaining or over-budget variance; copy or download the line-item summary</x:v>
      </x:c>
      <x:c r="H484" s="18" t="str">
        <x:v>growth600 · commit 8dfcc147a3</x:v>
      </x:c>
    </x:row>
    <x:row r="485" ht="48" customHeight="1">
      <x:c r="A485" s="18" t="str">
        <x:v>decision-tree-maker</x:v>
      </x:c>
      <x:c r="B485" s="18" t="str">
        <x:v>decision tree maker</x:v>
      </x:c>
      <x:c r="C485" s="18" t="str">
        <x:v>tools.usefulverse.com</x:v>
      </x:c>
      <x:c r="D485" s="18" t="str">
        <x:v>https://tools.usefulverse.com/tools/decision-tree-maker/</x:v>
      </x:c>
      <x:c r="E485" s="22" t="n">
        <x:v>36</x:v>
      </x:c>
      <x:c r="F485" s="18" t="str">
        <x:v>Sí</x:v>
      </x:c>
      <x:c r="G485" s="18" t="str">
        <x:v>build a branching yes/no decision from editable question and outcome rows; preview the paths and let a visitor step through answers; copy or export the decision structure</x:v>
      </x:c>
      <x:c r="H485" s="18" t="str">
        <x:v>growth600 · commit 8dfcc147a3</x:v>
      </x:c>
    </x:row>
    <x:row r="486" ht="48" customHeight="1">
      <x:c r="A486" s="18" t="str">
        <x:v>shift-scheduler</x:v>
      </x:c>
      <x:c r="B486" s="18" t="str">
        <x:v>shift scheduler</x:v>
      </x:c>
      <x:c r="C486" s="18" t="str">
        <x:v>tools.usefulverse.com</x:v>
      </x:c>
      <x:c r="D486" s="18" t="str">
        <x:v>https://tools.usefulverse.com/tools/shift-scheduler/</x:v>
      </x:c>
      <x:c r="E486" s="22" t="n">
        <x:v>36</x:v>
      </x:c>
      <x:c r="F486" s="18" t="str">
        <x:v>Sí</x:v>
      </x:c>
      <x:c r="G486" s="18" t="str">
        <x:v>enter staff shifts for a seven-day week; calculate each person’s and the schedule’s total hours; flag overlapping assignments for the same person on the same day</x:v>
      </x:c>
      <x:c r="H486" s="18" t="str">
        <x:v>growth600 · commit 8dfcc147a3</x:v>
      </x:c>
    </x:row>
    <x:row r="487" ht="48" customHeight="1">
      <x:c r="A487" s="18" t="str">
        <x:v>subscription-tracker</x:v>
      </x:c>
      <x:c r="B487" s="18" t="str">
        <x:v>subscription tracker</x:v>
      </x:c>
      <x:c r="C487" s="18" t="str">
        <x:v>tools.usefulverse.com</x:v>
      </x:c>
      <x:c r="D487" s="18" t="str">
        <x:v>https://tools.usefulverse.com/tools/subscription-tracker/</x:v>
      </x:c>
      <x:c r="E487" s="22" t="n">
        <x:v>36</x:v>
      </x:c>
      <x:c r="F487" s="18" t="str">
        <x:v>Sí</x:v>
      </x:c>
      <x:c r="G487" s="18" t="str">
        <x:v>list recurring charges billed weekly, monthly, quarterly, or yearly; normalize each amount to monthly and yearly totals; show the combined recurring spend without creating an account</x:v>
      </x:c>
      <x:c r="H487" s="18" t="str">
        <x:v>growth600 · commit 8dfcc147a3</x:v>
      </x:c>
    </x:row>
    <x:row r="488" ht="48" customHeight="1">
      <x:c r="A488" s="18" t="str">
        <x:v>radar-chart-maker</x:v>
      </x:c>
      <x:c r="B488" s="18" t="str">
        <x:v>radar chart maker</x:v>
      </x:c>
      <x:c r="C488" s="18" t="str">
        <x:v>tools.usefulverse.com</x:v>
      </x:c>
      <x:c r="D488" s="18" t="str">
        <x:v>https://tools.usefulverse.com/tools/radar-chart-maker/</x:v>
      </x:c>
      <x:c r="E488" s="22" t="n">
        <x:v>36</x:v>
      </x:c>
      <x:c r="F488" s="18" t="str">
        <x:v>Sí</x:v>
      </x:c>
      <x:c r="G488" s="18" t="str">
        <x:v>plot 3 to 12 labeled scores on a 0–100 radar chart; edit and compare categories in one dataset; export the chart as SVG</x:v>
      </x:c>
      <x:c r="H488" s="18" t="str">
        <x:v>growth600 · commit 8dfcc147a3</x:v>
      </x:c>
    </x:row>
    <x:row r="489" ht="48" customHeight="1">
      <x:c r="A489" s="18" t="str">
        <x:v>packing-box-calculator</x:v>
      </x:c>
      <x:c r="B489" s="18" t="str">
        <x:v>packing box calculator</x:v>
      </x:c>
      <x:c r="C489" s="18" t="str">
        <x:v>tools.usefulverse.com</x:v>
      </x:c>
      <x:c r="D489" s="18" t="str">
        <x:v>https://tools.usefulverse.com/tools/packing-box-calculator/</x:v>
      </x:c>
      <x:c r="E489" s="22" t="n">
        <x:v>36</x:v>
      </x:c>
      <x:c r="F489" s="18" t="str">
        <x:v>Sí</x:v>
      </x:c>
      <x:c r="G489" s="18" t="str">
        <x:v>estimate count from three box and item dimensions while testing axis-aligned rotations; show box and item volumes plus a volume-only upper bound; identify when no tested orientation fits</x:v>
      </x:c>
      <x:c r="H489" s="18" t="str">
        <x:v>growth600 · commit 8dfcc147a3</x:v>
      </x:c>
    </x:row>
    <x:row r="490" ht="48" customHeight="1">
      <x:c r="A490" s="18" t="str">
        <x:v>car-running-cost-calculator</x:v>
      </x:c>
      <x:c r="B490" s="18" t="str">
        <x:v>car running cost calculator</x:v>
      </x:c>
      <x:c r="C490" s="18" t="str">
        <x:v>tools.usefulverse.com</x:v>
      </x:c>
      <x:c r="D490" s="18" t="str">
        <x:v>https://tools.usefulverse.com/tools/car-running-cost-calculator/</x:v>
      </x:c>
      <x:c r="E490" s="22" t="n">
        <x:v>36</x:v>
      </x:c>
      <x:c r="F490" s="18" t="str">
        <x:v>Sí</x:v>
      </x:c>
      <x:c r="G490" s="18" t="str">
        <x:v>estimate yearly fuel, maintenance, insurance, and tax from user-entered assumptions; show annual, monthly-average, and per-distance costs; accept fuel efficiency and distance in matching user-selected units</x:v>
      </x:c>
      <x:c r="H490" s="18" t="str">
        <x:v>growth600 · commit 8dfcc147a3</x:v>
      </x:c>
    </x:row>
    <x:row r="491" ht="48" customHeight="1">
      <x:c r="A491" s="18" t="str">
        <x:v>bra-size-calculator</x:v>
      </x:c>
      <x:c r="B491" s="18" t="str">
        <x:v>bra size calculator</x:v>
      </x:c>
      <x:c r="C491" s="18" t="str">
        <x:v>tools.usefulverse.com</x:v>
      </x:c>
      <x:c r="D491" s="18" t="str">
        <x:v>https://tools.usefulverse.com/tools/bra-size-calculator/</x:v>
      </x:c>
      <x:c r="E491" s="22" t="n">
        <x:v>36</x:v>
      </x:c>
      <x:c r="F491" s="18" t="str">
        <x:v>Sí</x:v>
      </x:c>
      <x:c r="G491" s="18" t="str">
        <x:v>estimate a starting band and cup from underbust and bust measurements; accept centimeters or inches and choose a labeled sizing convention; explain that fit varies across brands and styles</x:v>
      </x:c>
      <x:c r="H491" s="18" t="str">
        <x:v>growth600 · commit 8dfcc147a3</x:v>
      </x:c>
    </x:row>
    <x:row r="492" ht="48" customHeight="1">
      <x:c r="A492" s="18" t="str">
        <x:v>logo-maker</x:v>
      </x:c>
      <x:c r="B492" s="18" t="str">
        <x:v>logo maker</x:v>
      </x:c>
      <x:c r="C492" s="18" t="str">
        <x:v>tools.usefulverse.com</x:v>
      </x:c>
      <x:c r="D492" s="18" t="str">
        <x:v>https://tools.usefulverse.com/tools/logo-maker/</x:v>
      </x:c>
      <x:c r="E492" s="22" t="n">
        <x:v>36</x:v>
      </x:c>
      <x:c r="F492" s="18" t="str">
        <x:v>Sí</x:v>
      </x:c>
      <x:c r="G492" s="18" t="str">
        <x:v>create a simple text-and-shape mark with editable name, colors, and layout; preview the result at common square sizes; download a self-contained SVG file</x:v>
      </x:c>
      <x:c r="H492" s="18" t="str">
        <x:v>growth600 · commit 8dfcc147a3</x:v>
      </x:c>
    </x:row>
    <x:row r="493" ht="48" customHeight="1">
      <x:c r="A493" s="18" t="str">
        <x:v>writing-prompt-generator</x:v>
      </x:c>
      <x:c r="B493" s="18" t="str">
        <x:v>writing prompt generator</x:v>
      </x:c>
      <x:c r="C493" s="18" t="str">
        <x:v>tools.usefulverse.com</x:v>
      </x:c>
      <x:c r="D493" s="18" t="str">
        <x:v>https://tools.usefulverse.com/tools/writing-prompt-generator/</x:v>
      </x:c>
      <x:c r="E493" s="22" t="n">
        <x:v>36</x:v>
      </x:c>
      <x:c r="F493" s="18" t="str">
        <x:v>Sí</x:v>
      </x:c>
      <x:c r="G493" s="18" t="str">
        <x:v>generate a prompt from a selected genre; offer a fresh prompt on each request and let users copy it; work offline from a small bundled prompt library</x:v>
      </x:c>
      <x:c r="H493" s="18" t="str">
        <x:v>growth600 · commit 8dfcc147a3</x:v>
      </x:c>
    </x:row>
    <x:row r="494" ht="48" customHeight="1">
      <x:c r="A494" s="18" t="str">
        <x:v>color-palette-from-image</x:v>
      </x:c>
      <x:c r="B494" s="18" t="str">
        <x:v>color palette from image</x:v>
      </x:c>
      <x:c r="C494" s="18" t="str">
        <x:v>tools.usefulverse.com</x:v>
      </x:c>
      <x:c r="D494" s="18" t="str">
        <x:v>https://tools.usefulverse.com/tools/color-palette-from-image/</x:v>
      </x:c>
      <x:c r="E494" s="22" t="n">
        <x:v>36</x:v>
      </x:c>
      <x:c r="F494" s="18" t="str">
        <x:v>Sí</x:v>
      </x:c>
      <x:c r="G494" s="18" t="str">
        <x:v>extract a small dominant-color palette from a local image using a bounded canvas sample; show HEX swatches and copy individual values; process the selected image only in the browser</x:v>
      </x:c>
      <x:c r="H494" s="18" t="str">
        <x:v>growth600 · commit 8dfcc147a3</x:v>
      </x:c>
    </x:row>
    <x:row r="495" ht="48" customHeight="1">
      <x:c r="A495" s="18" t="str">
        <x:v>text-summarizer</x:v>
      </x:c>
      <x:c r="B495" s="18" t="str">
        <x:v>text summarizer</x:v>
      </x:c>
      <x:c r="C495" s="18" t="str">
        <x:v>tools.usefulverse.com</x:v>
      </x:c>
      <x:c r="D495" s="18" t="str">
        <x:v>https://tools.usefulverse.com/tools/text-summarizer/</x:v>
      </x:c>
      <x:c r="E495" s="22" t="n">
        <x:v>36</x:v>
      </x:c>
      <x:c r="F495" s="18" t="str">
        <x:v>Sí</x:v>
      </x:c>
      <x:c r="G495" s="18" t="str">
        <x:v>select representative sentences using local word-frequency scoring; choose a bounded summary length and retain original sentence order; make clear that this is extractive and does not use an AI service</x:v>
      </x:c>
      <x:c r="H495" s="18" t="str">
        <x:v>growth600 · commit 8dfcc147a3</x:v>
      </x:c>
    </x:row>
    <x:row r="496" ht="48" customHeight="1">
      <x:c r="A496" s="18" t="str">
        <x:v>speed-reading-app</x:v>
      </x:c>
      <x:c r="B496" s="18" t="str">
        <x:v>speed reading app</x:v>
      </x:c>
      <x:c r="C496" s="18" t="str">
        <x:v>tools.usefulverse.com</x:v>
      </x:c>
      <x:c r="D496" s="18" t="str">
        <x:v>https://tools.usefulverse.com/tools/speed-reading-app/</x:v>
      </x:c>
      <x:c r="E496" s="22" t="n">
        <x:v>36</x:v>
      </x:c>
      <x:c r="F496" s="18" t="str">
        <x:v>Sí</x:v>
      </x:c>
      <x:c r="G496" s="18" t="str">
        <x:v>paste text and display one word at a time with adjustable words per minute; pause, resume, restart, and follow reading progress; estimate original passage length without uploading text</x:v>
      </x:c>
      <x:c r="H496" s="18" t="str">
        <x:v>growth600 · commit 8dfcc147a3</x:v>
      </x:c>
    </x:row>
    <x:row r="497" ht="48" customHeight="1">
      <x:c r="A497" s="18" t="str">
        <x:v>mockup-generator</x:v>
      </x:c>
      <x:c r="B497" s="18" t="str">
        <x:v>mockup generator</x:v>
      </x:c>
      <x:c r="C497" s="18" t="str">
        <x:v>tools.usefulverse.com</x:v>
      </x:c>
      <x:c r="D497" s="18" t="str">
        <x:v>https://tools.usefulverse.com/tools/mockup-generator/</x:v>
      </x:c>
      <x:c r="E497" s="22" t="n">
        <x:v>36</x:v>
      </x:c>
      <x:c r="F497" s="18" t="str">
        <x:v>Sí</x:v>
      </x:c>
      <x:c r="G497" s="18" t="str">
        <x:v>place a user-selected screenshot inside a simple browser or phone frame; choose a background and preview the composition; export a PNG locally without uploading the image</x:v>
      </x:c>
      <x:c r="H497" s="18" t="str">
        <x:v>growth600 · commit 8dfcc147a3</x:v>
      </x:c>
    </x:row>
    <x:row r="498" ht="48" customHeight="1">
      <x:c r="A498" s="18" t="str">
        <x:v>acrostic-poem-maker</x:v>
      </x:c>
      <x:c r="B498" s="18" t="str">
        <x:v>acrostic poem maker</x:v>
      </x:c>
      <x:c r="C498" s="18" t="str">
        <x:v>tools.usefulverse.com</x:v>
      </x:c>
      <x:c r="D498" s="18" t="str">
        <x:v>https://tools.usefulverse.com/tools/acrostic-poem-maker/</x:v>
      </x:c>
      <x:c r="E498" s="22" t="n">
        <x:v>36</x:v>
      </x:c>
      <x:c r="F498" s="18" t="str">
        <x:v>Sí</x:v>
      </x:c>
      <x:c r="G498" s="18" t="str">
        <x:v>create one editable line for each letter of a word or name; suggest matching words from optional user-provided vocabulary; copy or download the poem as text</x:v>
      </x:c>
      <x:c r="H498" s="18" t="str">
        <x:v>growth600 · commit 8dfcc147a3</x:v>
      </x:c>
    </x:row>
    <x:row r="499" ht="48" customHeight="1">
      <x:c r="A499" s="18" t="str">
        <x:v>word-frequency-counter</x:v>
      </x:c>
      <x:c r="B499" s="18" t="str">
        <x:v>word frequency counter</x:v>
      </x:c>
      <x:c r="C499" s="18" t="str">
        <x:v>tools.usefulverse.com</x:v>
      </x:c>
      <x:c r="D499" s="18" t="str">
        <x:v>https://tools.usefulverse.com/tools/word-frequency-counter/</x:v>
      </x:c>
      <x:c r="E499" s="22" t="n">
        <x:v>36</x:v>
      </x:c>
      <x:c r="F499" s="18" t="str">
        <x:v>Sí</x:v>
      </x:c>
      <x:c r="G499" s="18" t="str">
        <x:v>count Unicode words and rank them by frequency; show total and unique word counts with a configurable result limit; copy or download the count table</x:v>
      </x:c>
      <x:c r="H499" s="18" t="str">
        <x:v>growth600 · commit 8dfcc147a3</x:v>
      </x:c>
    </x:row>
    <x:row r="500" ht="48" customHeight="1">
      <x:c r="A500" s="18" t="str">
        <x:v>image-histogram</x:v>
      </x:c>
      <x:c r="B500" s="18" t="str">
        <x:v>image histogram</x:v>
      </x:c>
      <x:c r="C500" s="18" t="str">
        <x:v>tools.usefulverse.com</x:v>
      </x:c>
      <x:c r="D500" s="18" t="str">
        <x:v>https://tools.usefulverse.com/tools/image-histogram/</x:v>
      </x:c>
      <x:c r="E500" s="22" t="n">
        <x:v>36</x:v>
      </x:c>
      <x:c r="F500" s="18" t="str">
        <x:v>Sí</x:v>
      </x:c>
      <x:c r="G500" s="18" t="str">
        <x:v>calculate 16-bin red, green, blue, and luminance histograms from a local image; show sampled dimensions and opaque-pixel count; process a bounded downscaled copy in the browser</x:v>
      </x:c>
      <x:c r="H500" s="18" t="str">
        <x:v>growth600 · commit 8dfcc147a3</x:v>
      </x:c>
    </x:row>
    <x:row r="501" ht="48" customHeight="1">
      <x:c r="A501" s="18" t="str">
        <x:v>switzerland-unemployment-benefit-calculator</x:v>
      </x:c>
      <x:c r="B501" s="18" t="str">
        <x:v>Swiss Unemployment Benefits Calculator — Daily Allowance Scenario</x:v>
      </x:c>
      <x:c r="C501" s="18" t="str">
        <x:v>tools.usefulverse.com</x:v>
      </x:c>
      <x:c r="D501" s="18" t="str">
        <x:v>https://tools.usefulverse.com/tools/switzerland-unemployment-benefit-calculator/</x:v>
      </x:c>
      <x:c r="E501" s="22" t="n">
        <x:v>37</x:v>
      </x:c>
      <x:c r="F501" s="18" t="str">
        <x:v>Sí</x:v>
      </x:c>
      <x:c r="G501" s="18" t="str">
        <x:v>Estimate a gross Swiss unemployment daily allowance from the insured salary and replacement rate confirmed by your unemployment insurance fund.</x:v>
      </x:c>
      <x:c r="H501" s="18" t="str">
        <x:v>markets100 · commit 8dfcc147a3</x:v>
      </x:c>
    </x:row>
    <x:row r="502" ht="48" customHeight="1">
      <x:c r="A502" s="18" t="str">
        <x:v>switzerland-tenancy-notice-planner</x:v>
      </x:c>
      <x:c r="B502" s="18" t="str">
        <x:v>Swiss Rental Notice Planner and Letter Draft</x:v>
      </x:c>
      <x:c r="C502" s="18" t="str">
        <x:v>tools.usefulverse.com</x:v>
      </x:c>
      <x:c r="D502" s="18" t="str">
        <x:v>https://tools.usefulverse.com/tools/switzerland-tenancy-notice-planner/</x:v>
      </x:c>
      <x:c r="E502" s="22" t="n">
        <x:v>37</x:v>
      </x:c>
      <x:c r="F502" s="18" t="str">
        <x:v>Sí</x:v>
      </x:c>
      <x:c r="G502" s="18" t="str">
        <x:v>Plan a rental notice using the dates and terms in your own contract and prepare an editable letter. No canton rules are assumed.</x:v>
      </x:c>
      <x:c r="H502" s="18" t="str">
        <x:v>markets100 · commit 8dfcc147a3</x:v>
      </x:c>
    </x:row>
    <x:row r="503" ht="48" customHeight="1">
      <x:c r="A503" s="18" t="str">
        <x:v>switzerland-property-gains-tax-calculator</x:v>
      </x:c>
      <x:c r="B503" s="18" t="str">
        <x:v>Swiss Property Gains Tax — User-Entered Rate Scenario</x:v>
      </x:c>
      <x:c r="C503" s="18" t="str">
        <x:v>tools.usefulverse.com</x:v>
      </x:c>
      <x:c r="D503" s="18" t="str">
        <x:v>https://tools.usefulverse.com/tools/switzerland-property-gains-tax-calculator/</x:v>
      </x:c>
      <x:c r="E503" s="22" t="n">
        <x:v>37</x:v>
      </x:c>
      <x:c r="F503" s="18" t="str">
        <x:v>Sí</x:v>
      </x:c>
      <x:c r="G503" s="18" t="str">
        <x:v>Estimate a property gain using your own transaction figures and a rate taken from your official cantonal source.</x:v>
      </x:c>
      <x:c r="H503" s="18" t="str">
        <x:v>markets100 · commit 8dfcc147a3</x:v>
      </x:c>
    </x:row>
    <x:row r="504" ht="48" customHeight="1">
      <x:c r="A504" s="18" t="str">
        <x:v>switzerland-inheritance-gift-tax-calculator</x:v>
      </x:c>
      <x:c r="B504" s="18" t="str">
        <x:v>Swiss Inheritance and Gift Tax — Your Rate Scenario</x:v>
      </x:c>
      <x:c r="C504" s="18" t="str">
        <x:v>tools.usefulverse.com</x:v>
      </x:c>
      <x:c r="D504" s="18" t="str">
        <x:v>https://tools.usefulverse.com/tools/switzerland-inheritance-gift-tax-calculator/</x:v>
      </x:c>
      <x:c r="E504" s="22" t="n">
        <x:v>37</x:v>
      </x:c>
      <x:c r="F504" s="18" t="str">
        <x:v>Sí</x:v>
      </x:c>
      <x:c r="G504" s="18" t="str">
        <x:v>Estimate a taxable amount using a canton and recipient-specific exemption and rate that you enter.</x:v>
      </x:c>
      <x:c r="H504" s="18" t="str">
        <x:v>markets100 · commit 8dfcc147a3</x:v>
      </x:c>
    </x:row>
    <x:row r="505" ht="48" customHeight="1">
      <x:c r="A505" s="18" t="str">
        <x:v>switzerland-child-support-budget-calculator</x:v>
      </x:c>
      <x:c r="B505" s="18" t="str">
        <x:v>Swiss Child Support Budget — Transparent Household Scenario</x:v>
      </x:c>
      <x:c r="C505" s="18" t="str">
        <x:v>tools.usefulverse.com</x:v>
      </x:c>
      <x:c r="D505" s="18" t="str">
        <x:v>https://tools.usefulverse.com/tools/switzerland-child-support-budget-calculator/</x:v>
      </x:c>
      <x:c r="E505" s="22" t="n">
        <x:v>37</x:v>
      </x:c>
      <x:c r="F505" s="18" t="str">
        <x:v>Sí</x:v>
      </x:c>
      <x:c r="G505" s="18" t="str">
        <x:v>Allocate a documented child budget in a transparent household scenario. This is not a legal maintenance award.</x:v>
      </x:c>
      <x:c r="H505" s="18" t="str">
        <x:v>markets100 · commit 8dfcc147a3</x:v>
      </x:c>
    </x:row>
    <x:row r="506" ht="48" customHeight="1">
      <x:c r="A506" s="18" t="str">
        <x:v>word-hyphenation-tool</x:v>
      </x:c>
      <x:c r="B506" s="18" t="str">
        <x:v>Word Hyphenation Preview — Browser Language Patterns</x:v>
      </x:c>
      <x:c r="C506" s="18" t="str">
        <x:v>tools.usefulverse.com</x:v>
      </x:c>
      <x:c r="D506" s="18" t="str">
        <x:v>https://tools.usefulverse.com/tools/word-hyphenation-tool/</x:v>
      </x:c>
      <x:c r="E506" s="22" t="n">
        <x:v>37</x:v>
      </x:c>
      <x:c r="F506" s="18" t="str">
        <x:v>Sí</x:v>
      </x:c>
      <x:c r="G506" s="18" t="str">
        <x:v>Preview browser hyphenation for your text in its language. Pattern support depends on the browser and its installed language resources.</x:v>
      </x:c>
      <x:c r="H506" s="18" t="str">
        <x:v>markets100 · commit 8dfcc147a3</x:v>
      </x:c>
    </x:row>
    <x:row r="507" ht="48" customHeight="1">
      <x:c r="A507" s="18" t="str">
        <x:v>local-spell-checker</x:v>
      </x:c>
      <x:c r="B507" s="18" t="str">
        <x:v>Local Spell Checker — Use Your Browser Dictionary</x:v>
      </x:c>
      <x:c r="C507" s="18" t="str">
        <x:v>tools.usefulverse.com</x:v>
      </x:c>
      <x:c r="D507" s="18" t="str">
        <x:v>https://tools.usefulverse.com/tools/local-spell-checker/</x:v>
      </x:c>
      <x:c r="E507" s="22" t="n">
        <x:v>37</x:v>
      </x:c>
      <x:c r="F507" s="18" t="str">
        <x:v>Sí</x:v>
      </x:c>
      <x:c r="G507" s="18" t="str">
        <x:v>Edit text with your browser’s native spellcheck and copy it locally. Language coverage depends on dictionaries installed on your device.</x:v>
      </x:c>
      <x:c r="H507" s="18" t="str">
        <x:v>markets100 · commit 8dfcc147a3</x:v>
      </x:c>
    </x:row>
    <x:row r="508" ht="48" customHeight="1">
      <x:c r="A508" s="18" t="str">
        <x:v>graph-paper-generator</x:v>
      </x:c>
      <x:c r="B508" s="18" t="str">
        <x:v>Graph Paper Generator — Free, Custom &amp; Printable</x:v>
      </x:c>
      <x:c r="C508" s="18" t="str">
        <x:v>tools.usefulverse.com</x:v>
      </x:c>
      <x:c r="D508" s="18" t="str">
        <x:v>https://tools.usefulverse.com/tools/graph-paper-generator/</x:v>
      </x:c>
      <x:c r="E508" s="22" t="n">
        <x:v>37</x:v>
      </x:c>
      <x:c r="F508" s="18" t="str">
        <x:v>Sí</x:v>
      </x:c>
      <x:c r="G508" s="18" t="str">
        <x:v>Create free printable graph, dot and isometric paper. Set A4, Letter or custom size, spacing, margins and color; download SVG or print at scale.</x:v>
      </x:c>
      <x:c r="H508" s="18" t="str">
        <x:v>markets100 · commit 8dfcc147a3</x:v>
      </x:c>
    </x:row>
    <x:row r="509" ht="48" customHeight="1">
      <x:c r="A509" s="18" t="str">
        <x:v>knitting-gauge-calculator</x:v>
      </x:c>
      <x:c r="B509" s="18" t="str">
        <x:v>Knitting Gauge Calculator — Free Stitch &amp; Row Planner</x:v>
      </x:c>
      <x:c r="C509" s="18" t="str">
        <x:v>tools.usefulverse.com</x:v>
      </x:c>
      <x:c r="D509" s="18" t="str">
        <x:v>https://tools.usefulverse.com/tools/knitting-gauge-calculator/</x:v>
      </x:c>
      <x:c r="E509" s="22" t="n">
        <x:v>37</x:v>
      </x:c>
      <x:c r="F509" s="18" t="str">
        <x:v>Sí</x:v>
      </x:c>
      <x:c r="G509" s="18" t="str">
        <x:v>Scale stitches and rows from your swatch to a target size. Adjust repeats, symmetry and shaping, then print a clear knitting worksheet.</x:v>
      </x:c>
      <x:c r="H509" s="18" t="str">
        <x:v>markets100 · commit 8dfcc147a3</x:v>
      </x:c>
    </x:row>
    <x:row r="510" ht="48" customHeight="1">
      <x:c r="A510" s="18" t="str">
        <x:v>bead-pattern-generator</x:v>
      </x:c>
      <x:c r="B510" s="18" t="str">
        <x:v>Free Bead Pattern Generator from Image — Beads or Cross-Stitch</x:v>
      </x:c>
      <x:c r="C510" s="18" t="str">
        <x:v>tools.usefulverse.com</x:v>
      </x:c>
      <x:c r="D510" s="18" t="str">
        <x:v>https://tools.usefulverse.com/tools/bead-pattern-generator/</x:v>
      </x:c>
      <x:c r="E510" s="22" t="n">
        <x:v>37</x:v>
      </x:c>
      <x:c r="F510" s="18" t="str">
        <x:v>Sí</x:v>
      </x:c>
      <x:c r="G510" s="18" t="str">
        <x:v>Turn your own image into a counted bead or cross-stitch pattern. Limit colors, choose grid size, view the symbol legend and export locally.</x:v>
      </x:c>
      <x:c r="H510" s="18" t="str">
        <x:v>markets100 · commit 8dfcc147a3</x:v>
      </x:c>
    </x:row>
    <x:row r="511" ht="48" customHeight="1">
      <x:c r="A511" s="18" t="str">
        <x:v>codebreaker-game</x:v>
      </x:c>
      <x:c r="B511" s="18" t="str">
        <x:v>Codebreaker Game Online — Daily and Custom Logic Puzzles</x:v>
      </x:c>
      <x:c r="C511" s="18" t="str">
        <x:v>tools.usefulverse.com</x:v>
      </x:c>
      <x:c r="D511" s="18" t="str">
        <x:v>https://tools.usefulverse.com/tools/codebreaker-game/</x:v>
      </x:c>
      <x:c r="E511" s="22" t="n">
        <x:v>37</x:v>
      </x:c>
      <x:c r="F511" s="18" t="str">
        <x:v>Sí</x:v>
      </x:c>
      <x:c r="G511" s="18" t="str">
        <x:v>Crack a hidden color code in this free browser game. Choose code length, symbols and duplicate rules; use position and color clues. Play daily or practice locally.</x:v>
      </x:c>
      <x:c r="H511" s="18" t="str">
        <x:v>markets100 · commit 8dfcc147a3</x:v>
      </x:c>
    </x:row>
    <x:row r="512" ht="48" customHeight="1">
      <x:c r="A512" s="18" t="str">
        <x:v>five-letter-word-game</x:v>
      </x:c>
      <x:c r="B512" s="18" t="str">
        <x:v>Five-Letter Word Game — Choose a Language or Your Own Word List</x:v>
      </x:c>
      <x:c r="C512" s="18" t="str">
        <x:v>tools.usefulverse.com</x:v>
      </x:c>
      <x:c r="D512" s="18" t="str">
        <x:v>https://tools.usefulverse.com/tools/five-letter-word-game/</x:v>
      </x:c>
      <x:c r="E512" s="22" t="n">
        <x:v>37</x:v>
      </x:c>
      <x:c r="F512" s="18" t="str">
        <x:v>Sí</x:v>
      </x:c>
      <x:c r="G512" s="18" t="str">
        <x:v>Play a daily or practice five-letter word puzzle with a clearly selected word language. Use the optional Bokmål bank or load your own list; the interface language never chooses the answer language.</x:v>
      </x:c>
      <x:c r="H512" s="18" t="str">
        <x:v>markets100 · commit 8dfcc147a3</x:v>
      </x:c>
    </x:row>
    <x:row r="513" ht="48" customHeight="1">
      <x:c r="A513" s="18" t="str">
        <x:v>bridge-game</x:v>
      </x:c>
      <x:c r="B513" s="18" t="str">
        <x:v>Play Contract Bridge Online Against Local Computer Players</x:v>
      </x:c>
      <x:c r="C513" s="18" t="str">
        <x:v>tools.usefulverse.com</x:v>
      </x:c>
      <x:c r="D513" s="18" t="str">
        <x:v>https://tools.usefulverse.com/tools/bridge-game/</x:v>
      </x:c>
      <x:c r="E513" s="22" t="n">
        <x:v>37</x:v>
      </x:c>
      <x:c r="F513" s="18" t="str">
        <x:v>Sí</x:v>
      </x:c>
      <x:c r="G513" s="18" t="str">
        <x:v>Practice a hand of duplicate contract bridge against three beginner-level local computer players. Bid, follow suit, control dummy as declarer and see a clear score. No online multiplayer.</x:v>
      </x:c>
      <x:c r="H513" s="18" t="str">
        <x:v>markets100 · commit 8dfcc147a3</x:v>
      </x:c>
    </x:row>
    <x:row r="514" ht="48" customHeight="1">
      <x:c r="A514" s="18" t="str">
        <x:v>farkle-dice-game</x:v>
      </x:c>
      <x:c r="B514" s="18" t="str">
        <x:v>Play Farkle Online — Local Dice Game Against Computer Players</x:v>
      </x:c>
      <x:c r="C514" s="18" t="str">
        <x:v>tools.usefulverse.com</x:v>
      </x:c>
      <x:c r="D514" s="18" t="str">
        <x:v>https://tools.usefulverse.com/tools/farkle-dice-game/</x:v>
      </x:c>
      <x:c r="E514" s="22" t="n">
        <x:v>37</x:v>
      </x:c>
      <x:c r="F514" s="18" t="str">
        <x:v>Sí</x:v>
      </x:c>
      <x:c r="G514" s="18" t="str">
        <x:v>Play a local six-dice Farkle game. Choose a scoring table, opening score and target; roll, keep scoring dice, bank points or risk them. No account or online opponents.</x:v>
      </x:c>
      <x:c r="H514" s="18" t="str">
        <x:v>markets100 · commit 8dfcc147a3</x:v>
      </x:c>
    </x:row>
    <x:row r="515" ht="48" customHeight="1">
      <x:c r="A515" s="18" t="str">
        <x:v>shoe-size-converter</x:v>
      </x:c>
      <x:c r="B515" s="18" t="str">
        <x:v>Foot Length Converter — Compare Your Shoe Size Chart</x:v>
      </x:c>
      <x:c r="C515" s="18" t="str">
        <x:v>tools.usefulverse.com</x:v>
      </x:c>
      <x:c r="D515" s="18" t="str">
        <x:v>https://tools.usefulverse.com/tools/shoe-size-converter/</x:v>
      </x:c>
      <x:c r="E515" s="22" t="n">
        <x:v>37</x:v>
      </x:c>
      <x:c r="F515" s="18" t="str">
        <x:v>Sí</x:v>
      </x:c>
      <x:c r="G515" s="18" t="str">
        <x:v>Measure both feet, convert length units and compare with a shoe chart you provide. See the longer foot and avoid generic brand or country size assumptions.</x:v>
      </x:c>
      <x:c r="H515" s="18" t="str">
        <x:v>markets100 · commit 8dfcc147a3</x:v>
      </x:c>
    </x:row>
    <x:row r="516" ht="48" customHeight="1">
      <x:c r="A516" s="18" t="str">
        <x:v>child-growth-percentile-calculator</x:v>
      </x:c>
      <x:c r="B516" s="18" t="str">
        <x:v>Child Growth Percentile Calculator — CDC US Reference</x:v>
      </x:c>
      <x:c r="C516" s="18" t="str">
        <x:v>tools.usefulverse.com</x:v>
      </x:c>
      <x:c r="D516" s="18" t="str">
        <x:v>https://tools.usefulverse.com/tools/child-growth-percentile-calculator/</x:v>
      </x:c>
      <x:c r="E516" s="22" t="n">
        <x:v>37</x:v>
      </x:c>
      <x:c r="F516" s="18" t="str">
        <x:v>Sí</x:v>
      </x:c>
      <x:c r="G516" s="18" t="str">
        <x:v>Plot height, weight and BMI percentiles against an explicitly selected CDC United States reference for ages 2–20. Measurements stay local; no diagnosis or country assumption.</x:v>
      </x:c>
      <x:c r="H516" s="18" t="str">
        <x:v>markets100 · commit 8dfcc147a3</x:v>
      </x:c>
    </x:row>
    <x:row r="517" ht="48" customHeight="1">
      <x:c r="A517" s="18" t="str">
        <x:v>3d-model-viewer</x:v>
      </x:c>
      <x:c r="B517" s="18" t="str">
        <x:v>Free 3D Model Viewer — Open STL, OBJ, glTF and STEP Files Locally</x:v>
      </x:c>
      <x:c r="C517" s="18" t="str">
        <x:v>tools.usefulverse.com</x:v>
      </x:c>
      <x:c r="D517" s="18" t="str">
        <x:v>https://tools.usefulverse.com/tools/3d-model-viewer/</x:v>
      </x:c>
      <x:c r="E517" s="22" t="n">
        <x:v>37</x:v>
      </x:c>
      <x:c r="F517" s="18" t="str">
        <x:v>Sí</x:v>
      </x:c>
      <x:c r="G517" s="18" t="str">
        <x:v>Inspect STL, OBJ, glTF/GLB and STEP files locally. Rotate, zoom, view mesh measurements and save a screenshot; files are not uploaded.</x:v>
      </x:c>
      <x:c r="H517" s="18" t="str">
        <x:v>markets100 · commit 8dfcc147a3</x:v>
      </x:c>
    </x:row>
    <x:row r="518" ht="48" customHeight="1">
      <x:c r="A518" s="18" t="str">
        <x:v>dxf-drawing-viewer</x:v>
      </x:c>
      <x:c r="B518" s="18" t="str">
        <x:v>Free DXF Viewer — View Layers, Measure and Export SVG</x:v>
      </x:c>
      <x:c r="C518" s="18" t="str">
        <x:v>tools.usefulverse.com</x:v>
      </x:c>
      <x:c r="D518" s="18" t="str">
        <x:v>https://tools.usefulverse.com/tools/dxf-drawing-viewer/</x:v>
      </x:c>
      <x:c r="E518" s="22" t="n">
        <x:v>37</x:v>
      </x:c>
      <x:c r="F518" s="18" t="str">
        <x:v>Sí</x:v>
      </x:c>
      <x:c r="G518" s="18" t="str">
        <x:v>Open ASCII DXF drawings locally. View supported 2D lines, circles, arcs and polylines, toggle layers, measure distances and export the supported geometry as SVG or PNG.</x:v>
      </x:c>
      <x:c r="H518" s="18" t="str">
        <x:v>markets100 · commit 8dfcc147a3</x:v>
      </x:c>
    </x:row>
    <x:row r="519" ht="48" customHeight="1">
      <x:c r="A519" s="18" t="str">
        <x:v>grade-scale-generator</x:v>
      </x:c>
      <x:c r="B519" s="18" t="str">
        <x:v>Grade Scale Generator — Free Points-to-Grade Tool</x:v>
      </x:c>
      <x:c r="C519" s="18" t="str">
        <x:v>tools.usefulverse.com</x:v>
      </x:c>
      <x:c r="D519" s="18" t="str">
        <x:v>https://tools.usefulverse.com/tools/grade-scale-generator/</x:v>
      </x:c>
      <x:c r="E519" s="22" t="n">
        <x:v>37</x:v>
      </x:c>
      <x:c r="F519" s="18" t="str">
        <x:v>Sí</x:v>
      </x:c>
      <x:c r="G519" s="18" t="str">
        <x:v>Turn points into percentages and grades with your own thresholds. Preview the full scale, copy or export it, and print a grading sheet.</x:v>
      </x:c>
      <x:c r="H519" s="18" t="str">
        <x:v>markets100 · commit 8dfcc147a3</x:v>
      </x:c>
    </x:row>
    <x:row r="520" ht="48" customHeight="1">
      <x:c r="A520" s="18" t="str">
        <x:v>binary-puzzle</x:v>
      </x:c>
      <x:c r="B520" s="18" t="str">
        <x:v>Binairo Online — Free Random Binary Logic Puzzles</x:v>
      </x:c>
      <x:c r="C520" s="18" t="str">
        <x:v>tools.usefulverse.com</x:v>
      </x:c>
      <x:c r="D520" s="18" t="str">
        <x:v>https://tools.usefulverse.com/tools/binary-puzzle/</x:v>
      </x:c>
      <x:c r="E520" s="22" t="n">
        <x:v>37</x:v>
      </x:c>
      <x:c r="F520" s="18" t="str">
        <x:v>Sí</x:v>
      </x:c>
      <x:c r="G520" s="18" t="str">
        <x:v>Play fresh 6×6, 8×8 and 10×10 Binairo puzzles. Use unique rows and columns, avoid triples, request a hint and check a solution.</x:v>
      </x:c>
      <x:c r="H520" s="18" t="str">
        <x:v>markets100 · commit 8dfcc147a3</x:v>
      </x:c>
    </x:row>
    <x:row r="521" ht="48" customHeight="1">
      <x:c r="A521" s="18" t="str">
        <x:v>phonetic-alphabet-converter</x:v>
      </x:c>
      <x:c r="B521" s="18" t="str">
        <x:v>Phonetic Alphabet Converter — Free NATO Spelling Tool</x:v>
      </x:c>
      <x:c r="C521" s="18" t="str">
        <x:v>tools.usefulverse.com</x:v>
      </x:c>
      <x:c r="D521" s="18" t="str">
        <x:v>https://tools.usefulverse.com/tools/phonetic-alphabet-converter/</x:v>
      </x:c>
      <x:c r="E521" s="22" t="n">
        <x:v>37</x:v>
      </x:c>
      <x:c r="F521" s="18" t="str">
        <x:v>Sí</x:v>
      </x:c>
      <x:c r="G521" s="18" t="str">
        <x:v>Convert text to NATO phonetic words and back. Includes radio-style number words, punctuation, optional browser speech and a quick practice mode.</x:v>
      </x:c>
      <x:c r="H521" s="18" t="str">
        <x:v>markets100 · commit 8dfcc147a3</x:v>
      </x:c>
    </x:row>
    <x:row r="522" ht="48" customHeight="1">
      <x:c r="A522" s="18" t="str">
        <x:v>norway-holiday-pay-calculator</x:v>
      </x:c>
      <x:c r="B522" s="18" t="str">
        <x:v>Norway Holiday Pay Calculator — Free Gross Estimate</x:v>
      </x:c>
      <x:c r="C522" s="18" t="str">
        <x:v>tools.usefulverse.com</x:v>
      </x:c>
      <x:c r="D522" s="18" t="str">
        <x:v>https://tools.usefulverse.com/tools/norway-holiday-pay-calculator/</x:v>
      </x:c>
      <x:c r="E522" s="22" t="n">
        <x:v>37</x:v>
      </x:c>
      <x:c r="F522" s="18" t="str">
        <x:v>Sí</x:v>
      </x:c>
      <x:c r="G522" s="18" t="str">
        <x:v>Estimate Norwegian holiday pay from your holiday-pay basis. Compare common rates for standard leave, a fifth week and employees aged 60 or over.</x:v>
      </x:c>
      <x:c r="H522" s="18" t="str">
        <x:v>markets100 · commit 8dfcc147a3</x:v>
      </x:c>
    </x:row>
    <x:row r="523" ht="48" customHeight="1">
      <x:c r="A523" s="18" t="str">
        <x:v>currency-converter</x:v>
      </x:c>
      <x:c r="B523" s="18" t="str">
        <x:v>Currency Converter — Free Rates, Fees &amp; Offline Tools</x:v>
      </x:c>
      <x:c r="C523" s="18" t="str">
        <x:v>tools.usefulverse.com</x:v>
      </x:c>
      <x:c r="D523" s="18" t="str">
        <x:v>https://tools.usefulverse.com/tools/currency-converter/</x:v>
      </x:c>
      <x:c r="E523" s="22" t="n">
        <x:v>37</x:v>
      </x:c>
      <x:c r="F523" s="18" t="str">
        <x:v>Sí</x:v>
      </x:c>
      <x:c r="G523" s="18" t="str">
        <x:v>Convert NOK, CHF, EUR and major currencies using dated ECB reference rates. Compare fees and exchange margins, convert a list of amounts, and save rates on this device.</x:v>
      </x:c>
      <x:c r="H523" s="18" t="str">
        <x:v>markets100 · commit 8dfcc147a3</x:v>
      </x:c>
    </x:row>
    <x:row r="524" ht="48" customHeight="1">
      <x:c r="A524" s="18" t="str">
        <x:v>norway-income-tax-calculator</x:v>
      </x:c>
      <x:c r="B524" s="18" t="str">
        <x:v>Norway Tax Calculator 2026 — Free Salary &amp; Pension Estimate</x:v>
      </x:c>
      <x:c r="C524" s="18" t="str">
        <x:v>tools.usefulverse.com</x:v>
      </x:c>
      <x:c r="D524" s="18" t="str">
        <x:v>https://tools.usefulverse.com/tools/norway-income-tax-calculator/</x:v>
      </x:c>
      <x:c r="E524" s="22" t="n">
        <x:v>37</x:v>
      </x:c>
      <x:c r="F524" s="18" t="str">
        <x:v>Sí</x:v>
      </x:c>
      <x:c r="G524" s="18" t="str">
        <x:v>Estimate 2026 Norwegian income tax on standard salary or full-year old-age pension. See annual and monthly net pay, tax components and compare two scenarios.</x:v>
      </x:c>
      <x:c r="H524" s="18" t="str">
        <x:v>markets100 · commit 8dfcc147a3</x:v>
      </x:c>
    </x:row>
    <x:row r="525" ht="48" customHeight="1">
      <x:c r="A525" s="18" t="str">
        <x:v>norway-wealth-tax-calculator</x:v>
      </x:c>
      <x:c r="B525" s="18" t="str">
        <x:v>Norway Wealth Tax Calculator 2026 — Free Estimate</x:v>
      </x:c>
      <x:c r="C525" s="18" t="str">
        <x:v>tools.usefulverse.com</x:v>
      </x:c>
      <x:c r="D525" s="18" t="str">
        <x:v>https://tools.usefulverse.com/tools/norway-wealth-tax-calculator/</x:v>
      </x:c>
      <x:c r="E525" s="22" t="n">
        <x:v>37</x:v>
      </x:c>
      <x:c r="F525" s="18" t="str">
        <x:v>Sí</x:v>
      </x:c>
      <x:c r="G525" s="18" t="str">
        <x:v>Estimate 2026 Norwegian wealth tax from homes, shares, business assets, cash and debt. See the state and municipal split, valuation discounts and a value sensitivity range.</x:v>
      </x:c>
      <x:c r="H525" s="18" t="str">
        <x:v>markets100 · commit 8dfcc147a3</x:v>
      </x:c>
    </x:row>
    <x:row r="526" ht="48" customHeight="1">
      <x:c r="A526" s="18" t="str">
        <x:v>swiss-uid-validator</x:v>
      </x:c>
      <x:c r="B526" s="18" t="str">
        <x:v>Swiss UID Validator — Free CHE Number Check</x:v>
      </x:c>
      <x:c r="C526" s="18" t="str">
        <x:v>tools.usefulverse.com</x:v>
      </x:c>
      <x:c r="D526" s="18" t="str">
        <x:v>https://tools.usefulverse.com/tools/swiss-uid-validator/</x:v>
      </x:c>
      <x:c r="E526" s="22" t="n">
        <x:v>37</x:v>
      </x:c>
      <x:c r="F526" s="18" t="str">
        <x:v>Sí</x:v>
      </x:c>
      <x:c r="G526" s="18" t="str">
        <x:v>Check a Swiss UID/CHE number or a list of up to 100 in your browser. Free to use, no account or registry lookup; format and checksum checks do not confirm a business or VAT status.</x:v>
      </x:c>
      <x:c r="H526" s="18" t="str">
        <x:v>markets100 · commit 8dfcc147a3</x:v>
      </x:c>
    </x:row>
    <x:row r="527" ht="48" customHeight="1">
      <x:c r="A527" s="18" t="str">
        <x:v>switzerland-net-salary-calculator</x:v>
      </x:c>
      <x:c r="B527" s="18" t="str">
        <x:v>Swiss Salary Calculator 2026 — Gross to Net Pay Scenario</x:v>
      </x:c>
      <x:c r="C527" s="18" t="str">
        <x:v>tools.usefulverse.com</x:v>
      </x:c>
      <x:c r="D527" s="18" t="str">
        <x:v>https://tools.usefulverse.com/tools/switzerland-net-salary-calculator/</x:v>
      </x:c>
      <x:c r="E527" s="22" t="n">
        <x:v>37</x:v>
      </x:c>
      <x:c r="F527" s="18" t="str">
        <x:v>Sí</x:v>
      </x:c>
      <x:c r="G527" s="18" t="str">
        <x:v>Estimate Swiss employee payroll deductions for 2026. See federal AHV/IV/EO and unemployment contributions, then enter your actual pension, accident insurance and source-tax amounts for a useful 12- or 13-pay scenario.</x:v>
      </x:c>
      <x:c r="H527" s="18" t="str">
        <x:v>markets100 · commit 8dfcc147a3</x:v>
      </x:c>
    </x:row>
    <x:row r="528" ht="48" customHeight="1">
      <x:c r="A528" s="18" t="str">
        <x:v>switzerland-income-tax-calculator</x:v>
      </x:c>
      <x:c r="B528" s="18" t="str">
        <x:v>Swiss Tax Calculator Companion — Compare ESTV Results</x:v>
      </x:c>
      <x:c r="C528" s="18" t="str">
        <x:v>tools.usefulverse.com</x:v>
      </x:c>
      <x:c r="D528" s="18" t="str">
        <x:v>https://tools.usefulverse.com/tools/switzerland-income-tax-calculator/</x:v>
      </x:c>
      <x:c r="E528" s="22" t="n">
        <x:v>37</x:v>
      </x:c>
      <x:c r="F528" s="18" t="str">
        <x:v>Sí</x:v>
      </x:c>
      <x:c r="G528" s="18" t="str">
        <x:v>Compare annual Swiss income and wealth tax scenarios using figures from the official ESTV calculator. See the tax breakdown and effective rates without relying on copied or stale canton tables.</x:v>
      </x:c>
      <x:c r="H528" s="18" t="str">
        <x:v>markets100 · commit 8dfcc147a3</x:v>
      </x:c>
    </x:row>
    <x:row r="529" ht="48" customHeight="1">
      <x:c r="A529" s="18" t="str">
        <x:v>switzerland-ahv-pension-calculator</x:v>
      </x:c>
      <x:c r="B529" s="18" t="str">
        <x:v>Swiss AHV Pension Calculator — 2026 and 2027 Scenarios</x:v>
      </x:c>
      <x:c r="C529" s="18" t="str">
        <x:v>tools.usefulverse.com</x:v>
      </x:c>
      <x:c r="D529" s="18" t="str">
        <x:v>https://tools.usefulverse.com/tools/switzerland-ahv-pension-calculator/</x:v>
      </x:c>
      <x:c r="E529" s="22" t="n">
        <x:v>37</x:v>
      </x:c>
      <x:c r="F529" s="18" t="str">
        <x:v>Sí</x:v>
      </x:c>
      <x:c r="G529" s="18" t="str">
        <x:v>Estimate a Swiss AHV/AVS old-age pension from your official determining average annual income and contribution years. Includes current 2026 and announced 2027 amounts and the 13th old-age pension.</x:v>
      </x:c>
      <x:c r="H529" s="18" t="str">
        <x:v>markets100 · commit 8dfcc147a3</x:v>
      </x:c>
    </x:row>
    <x:row r="530" ht="48" customHeight="1">
      <x:c r="A530" s="18" t="str">
        <x:v>switzerland-pillar-3a-tax-calculator</x:v>
      </x:c>
      <x:c r="B530" s="18" t="str">
        <x:v>Swiss Pillar 3a Tax Calculator — Contribution Limits and ESTV Comparison</x:v>
      </x:c>
      <x:c r="C530" s="18" t="str">
        <x:v>tools.usefulverse.com</x:v>
      </x:c>
      <x:c r="D530" s="18" t="str">
        <x:v>https://tools.usefulverse.com/tools/switzerland-pillar-3a-tax-calculator/</x:v>
      </x:c>
      <x:c r="E530" s="22" t="n">
        <x:v>37</x:v>
      </x:c>
      <x:c r="F530" s="18" t="str">
        <x:v>Sí</x:v>
      </x:c>
      <x:c r="G530" s="18" t="str">
        <x:v>Check Swiss pillar 3a contribution deduction limits for 2026 or 2027 and compare annual tax amounts from the official ESTV calculator before and after a contribution.</x:v>
      </x:c>
      <x:c r="H530" s="18" t="str">
        <x:v>markets100 · commit 8dfcc147a3</x:v>
      </x:c>
    </x:row>
    <x:row r="531" ht="48" customHeight="1">
      <x:c r="A531" s="18" t="str">
        <x:v>switzerland-bvg-pension-calculator</x:v>
      </x:c>
      <x:c r="B531" s="18" t="str">
        <x:v>Swiss BVG Pension Calculator — 2026 and 2027 Minimum Scenarios</x:v>
      </x:c>
      <x:c r="C531" s="18" t="str">
        <x:v>tools.usefulverse.com</x:v>
      </x:c>
      <x:c r="D531" s="18" t="str">
        <x:v>https://tools.usefulverse.com/tools/switzerland-bvg-pension-calculator/</x:v>
      </x:c>
      <x:c r="E531" s="22" t="n">
        <x:v>37</x:v>
      </x:c>
      <x:c r="F531" s="18" t="str">
        <x:v>Sí</x:v>
      </x:c>
      <x:c r="G531" s="18" t="str">
        <x:v>Estimate Swiss mandatory BVG coordinated salary, annual retirement credit and a transparent projection for 2026 or 2027. Enter your pension-fund terms for a personal comparison.</x:v>
      </x:c>
      <x:c r="H531" s="18" t="str">
        <x:v>markets100 · commit 8dfcc147a3</x:v>
      </x:c>
    </x:row>
    <x:row r="532" ht="48" customHeight="1">
      <x:c r="A532" s="18" t="str">
        <x:v>switzerland-pension-withdrawal-tax-calculator</x:v>
      </x:c>
      <x:c r="B532" s="18" t="str">
        <x:v>Swiss Pension Withdrawal Tax Calculator — Compare ESTV Scenarios</x:v>
      </x:c>
      <x:c r="C532" s="18" t="str">
        <x:v>tools.usefulverse.com</x:v>
      </x:c>
      <x:c r="D532" s="18" t="str">
        <x:v>https://tools.usefulverse.com/tools/switzerland-pension-withdrawal-tax-calculator/</x:v>
      </x:c>
      <x:c r="E532" s="22" t="n">
        <x:v>37</x:v>
      </x:c>
      <x:c r="F532" s="18" t="str">
        <x:v>Sí</x:v>
      </x:c>
      <x:c r="G532" s="18" t="str">
        <x:v>Compare pension lump-sum tax scenarios using results from the official Swiss ESTV calculator. Combine benefits due in each tax year and compare only matching household and municipality inputs.</x:v>
      </x:c>
      <x:c r="H532" s="18" t="str">
        <x:v>markets100 · commit 8dfcc147a3</x:v>
      </x:c>
    </x:row>
    <x:row r="533" ht="48" customHeight="1">
      <x:c r="A533" s="18" t="str">
        <x:v>switzerland-health-deductible-comparator</x:v>
      </x:c>
      <x:c r="B533" s="18" t="str">
        <x:v>Swiss Health Insurance Franchise Calculator — Compare Annual Costs</x:v>
      </x:c>
      <x:c r="C533" s="18" t="str">
        <x:v>tools.usefulverse.com</x:v>
      </x:c>
      <x:c r="D533" s="18" t="str">
        <x:v>https://tools.usefulverse.com/tools/switzerland-health-deductible-comparator/</x:v>
      </x:c>
      <x:c r="E533" s="22" t="n">
        <x:v>37</x:v>
      </x:c>
      <x:c r="F533" s="18" t="str">
        <x:v>Sí</x:v>
      </x:c>
      <x:c r="G533" s="18" t="str">
        <x:v>Compare Swiss basic health insurance deductibles with the premiums offered to you and your own eligible treatment-cost scenarios.</x:v>
      </x:c>
      <x:c r="H533" s="18" t="str">
        <x:v>markets100 · commit 8dfcc147a3</x:v>
      </x:c>
    </x:row>
    <x:row r="534" ht="48" customHeight="1">
      <x:c r="A534" s="18" t="str">
        <x:v>switzerland-premium-subsidy-calculator</x:v>
      </x:c>
      <x:c r="B534" s="18" t="str">
        <x:v>Swiss Premium Subsidy Calculator — Your Net Premium</x:v>
      </x:c>
      <x:c r="C534" s="18" t="str">
        <x:v>tools.usefulverse.com</x:v>
      </x:c>
      <x:c r="D534" s="18" t="str">
        <x:v>https://tools.usefulverse.com/tools/switzerland-premium-subsidy-calculator/</x:v>
      </x:c>
      <x:c r="E534" s="22" t="n">
        <x:v>37</x:v>
      </x:c>
      <x:c r="F534" s="18" t="str">
        <x:v>Sí</x:v>
      </x:c>
      <x:c r="G534" s="18" t="str">
        <x:v>Calculate the net premium from the monthly reduction already granted by your Swiss canton. Eligibility and award amounts are not inferred.</x:v>
      </x:c>
      <x:c r="H534" s="18" t="str">
        <x:v>markets100 · commit 8dfcc147a3</x:v>
      </x:c>
    </x:row>
    <x:row r="535" ht="48" customHeight="1">
      <x:c r="A535" s="18" t="str">
        <x:v>switzerland-rent-adjustment-calculator</x:v>
      </x:c>
      <x:c r="B535" s="18" t="str">
        <x:v>Swiss Rent Adjustment Calculator — Reference Rate Scenario</x:v>
      </x:c>
      <x:c r="C535" s="18" t="str">
        <x:v>tools.usefulverse.com</x:v>
      </x:c>
      <x:c r="D535" s="18" t="str">
        <x:v>https://tools.usefulverse.com/tools/switzerland-rent-adjustment-calculator/</x:v>
      </x:c>
      <x:c r="E535" s="22" t="n">
        <x:v>37</x:v>
      </x:c>
      <x:c r="F535" s="18" t="str">
        <x:v>Sí</x:v>
      </x:c>
      <x:c r="G535" s="18" t="str">
        <x:v>Estimate only the mortgage reference-rate effect on Swiss residential rent using the rate in your lease and the latest official rate.</x:v>
      </x:c>
      <x:c r="H535" s="18" t="str">
        <x:v>markets100 · commit 8dfcc147a3</x:v>
      </x:c>
    </x:row>
    <x:row r="536" ht="48" customHeight="1">
      <x:c r="A536" s="18" t="str">
        <x:v>vacation-entitlement-calculator</x:v>
      </x:c>
      <x:c r="B536" s="18" t="str">
        <x:v>Swiss Vacation Accrual Calculator — Prorated Leave Balance</x:v>
      </x:c>
      <x:c r="C536" s="18" t="str">
        <x:v>tools.usefulverse.com</x:v>
      </x:c>
      <x:c r="D536" s="18" t="str">
        <x:v>https://tools.usefulverse.com/tools/vacation-entitlement-calculator/</x:v>
      </x:c>
      <x:c r="E536" s="22" t="n">
        <x:v>37</x:v>
      </x:c>
      <x:c r="F536" s="18" t="str">
        <x:v>Sí</x:v>
      </x:c>
      <x:c r="G536" s="18" t="str">
        <x:v>Estimate vacation days accrued in a Swiss employment year from the annual leave in your contract, work schedule, employment dates and leave already taken.</x:v>
      </x:c>
      <x:c r="H536" s="18" t="str">
        <x:v>markets100 · commit 8dfcc147a3</x:v>
      </x:c>
    </x:row>
    <x:row r="537" ht="48" customHeight="1">
      <x:c r="A537" s="18" t="str">
        <x:v>swiss-qr-bill-generator</x:v>
      </x:c>
      <x:c r="B537" s="18" t="str">
        <x:v>Swiss QR-bill Generator — Free QR Invoice Maker</x:v>
      </x:c>
      <x:c r="C537" s="18" t="str">
        <x:v>tools.usefulverse.com</x:v>
      </x:c>
      <x:c r="D537" s="18" t="str">
        <x:v>https://tools.usefulverse.com/tools/swiss-qr-bill-generator/</x:v>
      </x:c>
      <x:c r="E537" s="22" t="n">
        <x:v>37</x:v>
      </x:c>
      <x:c r="F537" s="18" t="str">
        <x:v>Sí</x:v>
      </x:c>
      <x:c r="G537" s="18" t="str">
        <x:v>Create and check a Swiss QR-bill locally. Validate IBAN, QR-IBAN, QRR and SCOR references; print the A6 payment part and receipt without uploading invoice data.</x:v>
      </x:c>
      <x:c r="H537" s="18" t="str">
        <x:v>markets100 · commit 8dfcc147a3</x:v>
      </x:c>
    </x:row>
    <x:row r="538" ht="48" customHeight="1">
      <x:c r="A538" s="18" t="str">
        <x:v>geographic-coordinate-converter</x:v>
      </x:c>
      <x:c r="B538" s="18" t="str">
        <x:v>Swiss Coordinate Converter — Free LV95, LV03, WGS84 &amp; UTM</x:v>
      </x:c>
      <x:c r="C538" s="18" t="str">
        <x:v>tools.usefulverse.com</x:v>
      </x:c>
      <x:c r="D538" s="18" t="str">
        <x:v>https://tools.usefulverse.com/tools/geographic-coordinate-converter/</x:v>
      </x:c>
      <x:c r="E538" s="22" t="n">
        <x:v>37</x:v>
      </x:c>
      <x:c r="F538" s="18" t="str">
        <x:v>Sí</x:v>
      </x:c>
      <x:c r="G538" s="18" t="str">
        <x:v>Convert Swiss LV95/LV03, WGS84 and UTM coordinates in your browser. Check CRS, datum and approximation notes; convert a point or up to 1,000 rows to CSV.</x:v>
      </x:c>
      <x:c r="H538" s="18" t="str">
        <x:v>markets100 · commit 8dfcc147a3</x:v>
      </x:c>
    </x:row>
    <x:row r="539" ht="48" customHeight="1">
      <x:c r="A539" s="18" t="str">
        <x:v>switzerland-vehicle-tax-calculator</x:v>
      </x:c>
      <x:c r="B539" s="18" t="str">
        <x:v>Swiss Vehicle Tax Calculator — Compare 26 Cantons Free</x:v>
      </x:c>
      <x:c r="C539" s="18" t="str">
        <x:v>tools.usefulverse.com</x:v>
      </x:c>
      <x:c r="D539" s="18" t="str">
        <x:v>https://tools.usefulverse.com/tools/switzerland-vehicle-tax-calculator/</x:v>
      </x:c>
      <x:c r="E539" s="22" t="n">
        <x:v>37</x:v>
      </x:c>
      <x:c r="F539" s="18" t="str">
        <x:v>Sí</x:v>
      </x:c>
      <x:c r="G539" s="18" t="str">
        <x:v>Compare 2026 annual vehicle-tax examples across all 26 Swiss cantons. Select two published reference cars, sort the results and export CSV. Free, local and transparent.</x:v>
      </x:c>
      <x:c r="H539" s="18" t="str">
        <x:v>markets100 · commit 8dfcc147a3</x:v>
      </x:c>
    </x:row>
    <x:row r="540" ht="48" customHeight="1">
      <x:c r="A540" s="18" t="str">
        <x:v>ring-size-calculator</x:v>
      </x:c>
      <x:c r="B540" s="18" t="str">
        <x:v>Ring Size Calculator — Compare Your Measurement with a Current Chart</x:v>
      </x:c>
      <x:c r="C540" s="18" t="str">
        <x:v>tools.usefulverse.com</x:v>
      </x:c>
      <x:c r="D540" s="18" t="str">
        <x:v>https://tools.usefulverse.com/tools/ring-size-calculator/</x:v>
      </x:c>
      <x:c r="E540" s="22" t="n">
        <x:v>37</x:v>
      </x:c>
      <x:c r="F540" s="18" t="str">
        <x:v>Sí</x:v>
      </x:c>
      <x:c r="G540" s="18" t="str">
        <x:v>Convert a ring inner diameter or finger circumference, then compare it with a current size chart you choose. No country system is assumed.</x:v>
      </x:c>
      <x:c r="H540" s="18" t="str">
        <x:v>markets100 · commit 8dfcc147a3</x:v>
      </x:c>
    </x:row>
    <x:row r="541" ht="48" customHeight="1">
      <x:c r="A541" s="18" t="str">
        <x:v>display-pixel-test</x:v>
      </x:c>
      <x:c r="B541" s="18" t="str">
        <x:v>Dead Pixel Test — Free Screen Color &amp; Pixel Check</x:v>
      </x:c>
      <x:c r="C541" s="18" t="str">
        <x:v>tools.usefulverse.com</x:v>
      </x:c>
      <x:c r="D541" s="18" t="str">
        <x:v>https://tools.usefulverse.com/tools/display-pixel-test/</x:v>
      </x:c>
      <x:c r="E541" s="22" t="n">
        <x:v>37</x:v>
      </x:c>
      <x:c r="F541" s="18" t="str">
        <x:v>Sí</x:v>
      </x:c>
      <x:c r="G541" s="18" t="str">
        <x:v>Check your display with solid colors, grayscale, gradients and a grid. Use optional fullscreen or a slow manual cycle; this visual test cannot repair or certify a screen.</x:v>
      </x:c>
      <x:c r="H541" s="18" t="str">
        <x:v>markets100 · commit 8dfcc147a3</x:v>
      </x:c>
    </x:row>
    <x:row r="542" ht="48" customHeight="1">
      <x:c r="A542" s="18" t="str">
        <x:v>browser-frame-rate-test</x:v>
      </x:c>
      <x:c r="B542" s="18" t="str">
        <x:v>FPS Test — Free Browser Frame-Rate Check</x:v>
      </x:c>
      <x:c r="C542" s="18" t="str">
        <x:v>tools.usefulverse.com</x:v>
      </x:c>
      <x:c r="D542" s="18" t="str">
        <x:v>https://tools.usefulverse.com/tools/browser-frame-rate-test/</x:v>
      </x:c>
      <x:c r="E542" s="22" t="n">
        <x:v>37</x:v>
      </x:c>
      <x:c r="F542" s="18" t="str">
        <x:v>Sí</x:v>
      </x:c>
      <x:c r="G542" s="18" t="str">
        <x:v>Measure the browser animation frame rate with a controlled canvas test. Compare frame intervals and stability on this device; results are not a certified monitor refresh-rate measurement.</x:v>
      </x:c>
      <x:c r="H542" s="18" t="str">
        <x:v>markets100 · commit 8dfcc147a3</x:v>
      </x:c>
    </x:row>
    <x:row r="543" ht="48" customHeight="1">
      <x:c r="A543" s="18" t="str">
        <x:v>dice-poker-game</x:v>
      </x:c>
      <x:c r="B543" s="18" t="str">
        <x:v>Yatzy Online — Free Dice Game &amp; Score Sheet</x:v>
      </x:c>
      <x:c r="C543" s="18" t="str">
        <x:v>tools.usefulverse.com</x:v>
      </x:c>
      <x:c r="D543" s="18" t="str">
        <x:v>https://tools.usefulverse.com/tools/dice-poker-game/</x:v>
      </x:c>
      <x:c r="E543" s="22" t="n">
        <x:v>37</x:v>
      </x:c>
      <x:c r="F543" s="18" t="str">
        <x:v>Sí</x:v>
      </x:c>
      <x:c r="G543" s="18" t="str">
        <x:v>Play a free single-player Yatzy-style dice game. Hold dice, fill 15 scoring categories, track the upper-section bonus and export the score sheet.</x:v>
      </x:c>
      <x:c r="H543" s="18" t="str">
        <x:v>markets100 · commit 8dfcc147a3</x:v>
      </x:c>
    </x:row>
    <x:row r="544" ht="48" customHeight="1">
      <x:c r="A544" s="18" t="str">
        <x:v>microphone-level-meter</x:v>
      </x:c>
      <x:c r="B544" s="18" t="str">
        <x:v>Microphone Level Meter — Free dBFS Test</x:v>
      </x:c>
      <x:c r="C544" s="18" t="str">
        <x:v>tools.usefulverse.com</x:v>
      </x:c>
      <x:c r="D544" s="18" t="str">
        <x:v>https://tools.usefulverse.com/tools/microphone-level-meter/</x:v>
      </x:c>
      <x:c r="E544" s="22" t="n">
        <x:v>37</x:v>
      </x:c>
      <x:c r="F544" s="18" t="str">
        <x:v>Sí</x:v>
      </x:c>
      <x:c r="G544" s="18" t="str">
        <x:v>View microphone RMS and peak levels in dBFS, keep a local history and export CSV. Optional reference calibration is an estimate, not a certified sound-pressure measurement.</x:v>
      </x:c>
      <x:c r="H544" s="18" t="str">
        <x:v>markets100 · commit 8dfcc147a3</x:v>
      </x:c>
    </x:row>
    <x:row r="545" ht="48" customHeight="1">
      <x:c r="A545" s="18" t="str">
        <x:v>bubble-shooter</x:v>
      </x:c>
      <x:c r="B545" s="18" t="str">
        <x:v>Bubble Shooter Online — Free Color Match Game</x:v>
      </x:c>
      <x:c r="C545" s="18" t="str">
        <x:v>tools.usefulverse.com</x:v>
      </x:c>
      <x:c r="D545" s="18" t="str">
        <x:v>https://tools.usefulverse.com/tools/bubble-shooter/</x:v>
      </x:c>
      <x:c r="E545" s="22" t="n">
        <x:v>37</x:v>
      </x:c>
      <x:c r="F545" s="18" t="str">
        <x:v>Sí</x:v>
      </x:c>
      <x:c r="G545" s="18" t="str">
        <x:v>Play Bubble Shooter free in your browser. Aim with mouse, touch or keyboard, match colors, clear hanging bubbles, beat levels and try the daily seeded challenge.</x:v>
      </x:c>
      <x:c r="H545" s="18" t="str">
        <x:v>markets100 · commit 8dfcc147a3</x:v>
      </x:c>
    </x:row>
    <x:row r="546" ht="48" customHeight="1">
      <x:c r="A546" s="18" t="str">
        <x:v>pet-age-calculator</x:v>
      </x:c>
      <x:c r="B546" s="18" t="str">
        <x:v>Pet Age Calculator — Free Dog &amp; Cat Age Guide</x:v>
      </x:c>
      <x:c r="C546" s="18" t="str">
        <x:v>tools.usefulverse.com</x:v>
      </x:c>
      <x:c r="D546" s="18" t="str">
        <x:v>https://tools.usefulverse.com/tools/pet-age-calculator/</x:v>
      </x:c>
      <x:c r="E546" s="22" t="n">
        <x:v>37</x:v>
      </x:c>
      <x:c r="F546" s="18" t="str">
        <x:v>Sí</x:v>
      </x:c>
      <x:c r="G546" s="18" t="str">
        <x:v>Compare dog and cat ages with clear methods: an estimated dog life stage or a chart-based cat age comparison. No “multiply by seven” shortcut.</x:v>
      </x:c>
      <x:c r="H546" s="18" t="str">
        <x:v>markets100 · commit 8dfcc147a3</x:v>
      </x:c>
    </x:row>
    <x:row r="547" ht="48" customHeight="1">
      <x:c r="A547" s="18" t="str">
        <x:v>wheel-offset-clearance-calculator</x:v>
      </x:c>
      <x:c r="B547" s="18" t="str">
        <x:v>Wheel Offset Calculator — Free ET &amp; Rim Position Comparison</x:v>
      </x:c>
      <x:c r="C547" s="18" t="str">
        <x:v>tools.usefulverse.com</x:v>
      </x:c>
      <x:c r="D547" s="18" t="str">
        <x:v>https://tools.usefulverse.com/tools/wheel-offset-clearance-calculator/</x:v>
      </x:c>
      <x:c r="E547" s="22" t="n">
        <x:v>37</x:v>
      </x:c>
      <x:c r="F547" s="18" t="str">
        <x:v>Sí</x:v>
      </x:c>
      <x:c r="G547" s="18" t="str">
        <x:v>Compare rim width, wheel offset (ET) and spacers. See inner and outer rim movement, centerline change and optional estimated clearance — a geometry guide, not fitment approval.</x:v>
      </x:c>
      <x:c r="H547" s="18" t="str">
        <x:v>markets100 · commit 8dfcc147a3</x:v>
      </x:c>
    </x:row>
    <x:row r="548" ht="48" customHeight="1">
      <x:c r="A548" s="18" t="str">
        <x:v>scale-drawing-calculator</x:v>
      </x:c>
      <x:c r="B548" s="18" t="str">
        <x:v>Scale Drawing Calculator — Free Drawing &amp; Print Scale</x:v>
      </x:c>
      <x:c r="C548" s="18" t="str">
        <x:v>tools.usefulverse.com</x:v>
      </x:c>
      <x:c r="D548" s="18" t="str">
        <x:v>https://tools.usefulverse.com/tools/scale-drawing-calculator/</x:v>
      </x:c>
      <x:c r="E548" s="22" t="n">
        <x:v>37</x:v>
      </x:c>
      <x:c r="F548" s="18" t="str">
        <x:v>Sí</x:v>
      </x:c>
      <x:c r="G548" s="18" t="str">
        <x:v>Calculate real distances from a 1:n drawing scale, convert to a new scale, compare multiple measurements, and print a physical scale bar with a 100 mm check line.</x:v>
      </x:c>
      <x:c r="H548" s="18" t="str">
        <x:v>markets100 · commit 8dfcc147a3</x:v>
      </x:c>
    </x:row>
    <x:row r="549" ht="48" customHeight="1">
      <x:c r="A549" s="18" t="str">
        <x:v>dew-point-humidity-calculator</x:v>
      </x:c>
      <x:c r="B549" s="18" t="str">
        <x:v>Dew Point Calculator — Free Humidity &amp; Condensation Estimate</x:v>
      </x:c>
      <x:c r="C549" s="18" t="str">
        <x:v>tools.usefulverse.com</x:v>
      </x:c>
      <x:c r="D549" s="18" t="str">
        <x:v>https://tools.usefulverse.com/tools/dew-point-humidity-calculator/</x:v>
      </x:c>
      <x:c r="E549" s="22" t="n">
        <x:v>37</x:v>
      </x:c>
      <x:c r="F549" s="18" t="str">
        <x:v>Sí</x:v>
      </x:c>
      <x:c r="G549" s="18" t="str">
        <x:v>Estimate dew or frost point, absolute humidity and vapour pressure from air temperature and relative humidity. Compare a surface temperature locally in your browser.</x:v>
      </x:c>
      <x:c r="H549" s="18" t="str">
        <x:v>markets100 · commit 8dfcc147a3</x:v>
      </x:c>
    </x:row>
    <x:row r="550" ht="48" customHeight="1">
      <x:c r="A550" s="18" t="str">
        <x:v>natal-chart-calculator</x:v>
      </x:c>
      <x:c r="B550" s="18" t="str">
        <x:v>Natal Chart Calculator — Free Birth Chart &amp; Ascendant</x:v>
      </x:c>
      <x:c r="C550" s="18" t="str">
        <x:v>tools.usefulverse.com</x:v>
      </x:c>
      <x:c r="D550" s="18" t="str">
        <x:v>https://tools.usefulverse.com/tools/natal-chart-calculator/</x:v>
      </x:c>
      <x:c r="E550" s="22" t="n">
        <x:v>37</x:v>
      </x:c>
      <x:c r="F550" s="18" t="str">
        <x:v>Sí</x:v>
      </x:c>
      <x:c r="G550" s="18" t="str">
        <x:v>Create a free birth chart with Sun, Moon, planetary signs, ascendant and Midheaven. Enter birth time, IANA time zone and coordinates; calculations stay on this device.</x:v>
      </x:c>
      <x:c r="H550" s="18" t="str">
        <x:v>markets100 · commit 8dfcc147a3</x:v>
      </x:c>
    </x:row>
    <x:row r="551" ht="48" customHeight="1">
      <x:c r="A551" s="18" t="str">
        <x:v>numerology-calculator</x:v>
      </x:c>
      <x:c r="B551" s="18" t="str">
        <x:v>Numerology Calculator — Free Life Path &amp; Name Numbers</x:v>
      </x:c>
      <x:c r="C551" s="18" t="str">
        <x:v>tools.usefulverse.com</x:v>
      </x:c>
      <x:c r="D551" s="18" t="str">
        <x:v>https://tools.usefulverse.com/tools/numerology-calculator/</x:v>
      </x:c>
      <x:c r="E551" s="22" t="n">
        <x:v>37</x:v>
      </x:c>
      <x:c r="F551" s="18" t="str">
        <x:v>Sí</x:v>
      </x:c>
      <x:c r="G551" s="18" t="str">
        <x:v>Calculate a life path and birthday number, plus optional Pythagorean name numbers. See every reduction step. Free, private and for entertainment only.</x:v>
      </x:c>
      <x:c r="H551" s="18" t="str">
        <x:v>markets100 · commit 8dfcc147a3</x:v>
      </x:c>
    </x:row>
    <x:row r="552" ht="48" customHeight="1">
      <x:c r="A552" s="18" t="str">
        <x:v>jass-game</x:v>
      </x:c>
      <x:c r="B552" s="18" t="str">
        <x:v>Jass Online — Free Schieber Game vs CPU</x:v>
      </x:c>
      <x:c r="C552" s="18" t="str">
        <x:v>tools.usefulverse.com</x:v>
      </x:c>
      <x:c r="D552" s="18" t="str">
        <x:v>https://tools.usefulverse.com/tools/jass-game/</x:v>
      </x:c>
      <x:c r="E552" s="22" t="n">
        <x:v>37</x:v>
      </x:c>
      <x:c r="F552" s="18" t="str">
        <x:v>Sí</x:v>
      </x:c>
      <x:c r="G552" s="18" t="str">
        <x:v>Play 12 hands of Schieber Jass against three local computer players. Choose a contract, follow the card rules, keep a score sheet and save your match on this device.</x:v>
      </x:c>
      <x:c r="H552" s="18" t="str">
        <x:v>markets100 · commit 8dfcc147a3</x:v>
      </x:c>
    </x:row>
    <x:row r="553" ht="48" customHeight="1">
      <x:c r="A553" s="18" t="str">
        <x:v>nine-mens-morris</x:v>
      </x:c>
      <x:c r="B553" s="18" t="str">
        <x:v>Nine Men’s Morris Online — Free Mill Game vs Computer</x:v>
      </x:c>
      <x:c r="C553" s="18" t="str">
        <x:v>tools.usefulverse.com</x:v>
      </x:c>
      <x:c r="D553" s="18" t="str">
        <x:v>https://tools.usefulverse.com/tools/nine-mens-morris/</x:v>
      </x:c>
      <x:c r="E553" s="22" t="n">
        <x:v>37</x:v>
      </x:c>
      <x:c r="F553" s="18" t="str">
        <x:v>Sí</x:v>
      </x:c>
      <x:c r="G553" s="18" t="str">
        <x:v>Play Nine Men’s Morris online against a local computer opponent. Place nine pieces, form mills, capture safely and fly when you have three left. Free, private and stored on this device.</x:v>
      </x:c>
      <x:c r="H553" s="18" t="str">
        <x:v>markets100 · commit 8dfcc147a3</x:v>
      </x:c>
    </x:row>
    <x:row r="554" ht="48" customHeight="1">
      <x:c r="A554" s="18" t="str">
        <x:v>halma-game</x:v>
      </x:c>
      <x:c r="B554" s="18" t="str">
        <x:v>Halma Online — Free 16×16 Board Game with Jump Chains</x:v>
      </x:c>
      <x:c r="C554" s="18" t="str">
        <x:v>tools.usefulverse.com</x:v>
      </x:c>
      <x:c r="D554" s="18" t="str">
        <x:v>https://tools.usefulverse.com/tools/halma-game/</x:v>
      </x:c>
      <x:c r="E554" s="22" t="n">
        <x:v>37</x:v>
      </x:c>
      <x:c r="F554" s="18" t="str">
        <x:v>Sí</x:v>
      </x:c>
      <x:c r="G554" s="18" t="str">
        <x:v>Play classic two-player Halma online for free. Move 19 pieces across a 16×16 board with eight-direction steps and chained jumps; play a local computer or pass-and-play.</x:v>
      </x:c>
      <x:c r="H554" s="18" t="str">
        <x:v>markets100 · commit 8dfcc147a3</x:v>
      </x:c>
    </x:row>
    <x:row r="555" ht="48" customHeight="1">
      <x:c r="A555" s="18" t="str">
        <x:v>canasta-card-game</x:v>
      </x:c>
      <x:c r="B555" s="18" t="str">
        <x:v>Canasta Online — Free Two-Player Card Game</x:v>
      </x:c>
      <x:c r="C555" s="18" t="str">
        <x:v>tools.usefulverse.com</x:v>
      </x:c>
      <x:c r="D555" s="18" t="str">
        <x:v>https://tools.usefulverse.com/tools/canasta-card-game/</x:v>
      </x:c>
      <x:c r="E555" s="22" t="n">
        <x:v>37</x:v>
      </x:c>
      <x:c r="F555" s="18" t="str">
        <x:v>Sí</x:v>
      </x:c>
      <x:c r="G555" s="18" t="str">
        <x:v>Play two-player Canasta against a local computer. Form melds, use wild cards, take or freeze the discard pile, build clean and mixed canastas, and track scores privately on this device.</x:v>
      </x:c>
      <x:c r="H555" s="18" t="str">
        <x:v>markets100 · commit 8dfcc147a3</x:v>
      </x:c>
    </x:row>
    <x:row r="556" ht="48" customHeight="1">
      <x:c r="A556" s="18" t="str">
        <x:v>skat-card-game</x:v>
      </x:c>
      <x:c r="B556" s="18" t="str">
        <x:v>Skat Online — Free Three-Player Card Game vs CPU</x:v>
      </x:c>
      <x:c r="C556" s="18" t="str">
        <x:v>tools.usefulverse.com</x:v>
      </x:c>
      <x:c r="D556" s="18" t="str">
        <x:v>https://tools.usefulverse.com/tools/skat-card-game/</x:v>
      </x:c>
      <x:c r="E556" s="22" t="n">
        <x:v>37</x:v>
      </x:c>
      <x:c r="F556" s="18" t="str">
        <x:v>Sí</x:v>
      </x:c>
      <x:c r="G556" s="18" t="str">
        <x:v>Practice Skat against two local computer players. Bid, pick up or play Hand, choose a suit, Grand or Null, follow suit and score each deal. Free; play stays on this device.</x:v>
      </x:c>
      <x:c r="H556" s="18" t="str">
        <x:v>markets100 · commit 8dfcc147a3</x:v>
      </x:c>
    </x:row>
    <x:row r="557" ht="48" customHeight="1">
      <x:c r="A557" s="18" t="str">
        <x:v>doppelkopf-card-game</x:v>
      </x:c>
      <x:c r="B557" s="18" t="str">
        <x:v>Doppelkopf Online — Free Four-Seat Card Game</x:v>
      </x:c>
      <x:c r="C557" s="18" t="str">
        <x:v>tools.usefulverse.com</x:v>
      </x:c>
      <x:c r="D557" s="18" t="str">
        <x:v>https://tools.usefulverse.com/tools/doppelkopf-card-game/</x:v>
      </x:c>
      <x:c r="E557" s="22" t="n">
        <x:v>37</x:v>
      </x:c>
      <x:c r="F557" s="18" t="str">
        <x:v>Sí</x:v>
      </x:c>
      <x:c r="G557" s="18" t="str">
        <x:v>Play a four-seat Doppelkopf practice game against three local CPUs. Follow suit, find your Re partner, announce Re or Kontra and resolve a wedding. No account; saved on this device.</x:v>
      </x:c>
      <x:c r="H557" s="18" t="str">
        <x:v>markets100 · commit 8dfcc147a3</x:v>
      </x:c>
    </x:row>
    <x:row r="558" ht="48" customHeight="1">
      <x:c r="A558" s="18" t="str">
        <x:v>schafkopf-card-game</x:v>
      </x:c>
      <x:c r="B558" s="18" t="str">
        <x:v>Schafkopf Online — Free Rufspiel Card Game</x:v>
      </x:c>
      <x:c r="C558" s="18" t="str">
        <x:v>tools.usefulverse.com</x:v>
      </x:c>
      <x:c r="D558" s="18" t="str">
        <x:v>https://tools.usefulverse.com/tools/schafkopf-card-game/</x:v>
      </x:c>
      <x:c r="E558" s="22" t="n">
        <x:v>37</x:v>
      </x:c>
      <x:c r="F558" s="18" t="str">
        <x:v>Sí</x:v>
      </x:c>
      <x:c r="G558" s="18" t="str">
        <x:v>Play a local Bavarian Schafkopf Rufspiel against three computer players. Call an ace, find your hidden partner, follow suit, win tricks and learn the basic rules. Free; saved on this device.</x:v>
      </x:c>
      <x:c r="H558" s="18" t="str">
        <x:v>markets100 · commit 8dfcc147a3</x:v>
      </x:c>
    </x:row>
    <x:row r="559" ht="48" customHeight="1">
      <x:c r="A559" s="18" t="str">
        <x:v>schnapsen-card-game</x:v>
      </x:c>
      <x:c r="B559" s="18" t="str">
        <x:v>Schnapsen Online — Free Austrian 66 Card Game vs CPU</x:v>
      </x:c>
      <x:c r="C559" s="18" t="str">
        <x:v>tools.usefulverse.com</x:v>
      </x:c>
      <x:c r="D559" s="18" t="str">
        <x:v>https://tools.usefulverse.com/tools/schnapsen-card-game/</x:v>
      </x:c>
      <x:c r="E559" s="22" t="n">
        <x:v>37</x:v>
      </x:c>
      <x:c r="F559" s="18" t="str">
        <x:v>Sí</x:v>
      </x:c>
      <x:c r="G559" s="18" t="str">
        <x:v>Play Austrian Schnapsen with a 20-card deck against a local computer. Declare marriages, exchange the trump jack, close the talon and reach 66. Free; saved on this device.</x:v>
      </x:c>
      <x:c r="H559" s="18" t="str">
        <x:v>markets100 · commit 8dfcc147a3</x:v>
      </x:c>
    </x:row>
    <x:row r="560" ht="48" customHeight="1">
      <x:c r="A560" s="18" t="str">
        <x:v>suguru-puzzle</x:v>
      </x:c>
      <x:c r="B560" s="18" t="str">
        <x:v>Suguru Online — Free Number Region Puzzle</x:v>
      </x:c>
      <x:c r="C560" s="18" t="str">
        <x:v>tools.usefulverse.com</x:v>
      </x:c>
      <x:c r="D560" s="18" t="str">
        <x:v>https://tools.usefulverse.com/tools/suguru-puzzle/</x:v>
      </x:c>
      <x:c r="E560" s="22" t="n">
        <x:v>37</x:v>
      </x:c>
      <x:c r="F560" s="18" t="str">
        <x:v>Sí</x:v>
      </x:c>
      <x:c r="G560" s="18" t="str">
        <x:v>Play Suguru online for free. Fill each outlined region with 1 to its size and keep equal numbers apart, including diagonally. Generate a unique puzzle, use notes and hints, and save progress on this device.</x:v>
      </x:c>
      <x:c r="H560" s="18" t="str">
        <x:v>markets100 · commit 8dfcc147a3</x:v>
      </x:c>
    </x:row>
    <x:row r="561" ht="48" customHeight="1">
      <x:c r="A561" s="18" t="str">
        <x:v>shikaku-puzzle</x:v>
      </x:c>
      <x:c r="B561" s="18" t="str">
        <x:v>Shikaku Puzzle Online — Free Daily Rectangle Game</x:v>
      </x:c>
      <x:c r="C561" s="18" t="str">
        <x:v>tools.usefulverse.com</x:v>
      </x:c>
      <x:c r="D561" s="18" t="str">
        <x:v>https://tools.usefulverse.com/tools/shikaku-puzzle/</x:v>
      </x:c>
      <x:c r="E561" s="22" t="n">
        <x:v>37</x:v>
      </x:c>
      <x:c r="F561" s="18" t="str">
        <x:v>Sí</x:v>
      </x:c>
      <x:c r="G561" s="18" t="str">
        <x:v>Play Shikaku online for free. Divide each grid into rectangles that match the numbered areas. Get a daily puzzle, hints and a fresh board; your game stays on this device.</x:v>
      </x:c>
      <x:c r="H561" s="18" t="str">
        <x:v>markets100 · commit 8dfcc147a3</x:v>
      </x:c>
    </x:row>
    <x:row r="562" ht="48" customHeight="1">
      <x:c r="A562" s="18" t="str">
        <x:v>brick-breaker-game</x:v>
      </x:c>
      <x:c r="B562" s="18" t="str">
        <x:v>Brick Breaker Online — Free Paddle and Brick Game</x:v>
      </x:c>
      <x:c r="C562" s="18" t="str">
        <x:v>tools.usefulverse.com</x:v>
      </x:c>
      <x:c r="D562" s="18" t="str">
        <x:v>https://tools.usefulverse.com/tools/brick-breaker-game/</x:v>
      </x:c>
      <x:c r="E562" s="22" t="n">
        <x:v>37</x:v>
      </x:c>
      <x:c r="F562" s="18" t="str">
        <x:v>Sí</x:v>
      </x:c>
      <x:c r="G562" s="18" t="str">
        <x:v>Play a free brick breaker game in your browser. Control the paddle with touch, mouse or keyboard, clear original levels, pause any time and save your best score on this device.</x:v>
      </x:c>
      <x:c r="H562" s="18" t="str">
        <x:v>markets100 · commit 8dfcc147a3</x:v>
      </x:c>
    </x:row>
    <x:row r="563" ht="48" customHeight="1">
      <x:c r="A563" s="18" t="str">
        <x:v>mini-golf-game</x:v>
      </x:c>
      <x:c r="B563" s="18" t="str">
        <x:v>Mini Golf Online — Free 9-Hole Game &amp; Course Codes</x:v>
      </x:c>
      <x:c r="C563" s="18" t="str">
        <x:v>tools.usefulverse.com</x:v>
      </x:c>
      <x:c r="D563" s="18" t="str">
        <x:v>https://tools.usefulverse.com/tools/mini-golf-game/</x:v>
      </x:c>
      <x:c r="E563" s="22" t="n">
        <x:v>37</x:v>
      </x:c>
      <x:c r="F563" s="18" t="str">
        <x:v>Sí</x:v>
      </x:c>
      <x:c r="G563" s="18" t="str">
        <x:v>Play a free nine-hole mini golf game in your browser. Aim and set putt power, avoid water and bumpers, track strokes and par, then share a reproducible course code. No upload or account.</x:v>
      </x:c>
      <x:c r="H563" s="18" t="str">
        <x:v>markets100 · commit 8dfcc147a3</x:v>
      </x:c>
    </x:row>
    <x:row r="564" ht="48" customHeight="1">
      <x:c r="A564" s="18" t="str">
        <x:v>match-three-game</x:v>
      </x:c>
      <x:c r="B564" s="18" t="str">
        <x:v>Match 3 Game Online — Free Untimed Match-Three Puzzle</x:v>
      </x:c>
      <x:c r="C564" s="18" t="str">
        <x:v>tools.usefulverse.com</x:v>
      </x:c>
      <x:c r="D564" s="18" t="str">
        <x:v>https://tools.usefulverse.com/tools/match-three-game/</x:v>
      </x:c>
      <x:c r="E564" s="22" t="n">
        <x:v>37</x:v>
      </x:c>
      <x:c r="F564" s="18" t="str">
        <x:v>Sí</x:v>
      </x:c>
      <x:c r="G564" s="18" t="str">
        <x:v>Play an original match-3 puzzle with goals, move limits, cascades, hints and 12 levels. No timer or account; progress can stay on this device.</x:v>
      </x:c>
      <x:c r="H564" s="18" t="str">
        <x:v>markets100 · commit 8dfcc147a3</x:v>
      </x:c>
    </x:row>
    <x:row r="565" ht="48" customHeight="1">
      <x:c r="A565" s="18" t="str">
        <x:v>audio-to-midi-transcriber</x:v>
      </x:c>
      <x:c r="B565" s="18" t="str">
        <x:v>Audio to MIDI Converter — Free Melody to MIDI</x:v>
      </x:c>
      <x:c r="C565" s="18" t="str">
        <x:v>tools.usefulverse.com</x:v>
      </x:c>
      <x:c r="D565" s="18" t="str">
        <x:v>https://tools.usefulverse.com/tools/audio-to-midi-transcriber/</x:v>
      </x:c>
      <x:c r="E565" s="22" t="n">
        <x:v>37</x:v>
      </x:c>
      <x:c r="F565" s="18" t="str">
        <x:v>Sí</x:v>
      </x:c>
      <x:c r="G565" s="18" t="str">
        <x:v>Turn a short recording of one clear melody into editable MIDI notes. Correct pitch and timing, quantize if needed, then export a standard MIDI file in your browser.</x:v>
      </x:c>
      <x:c r="H565" s="18" t="str">
        <x:v>markets100 · commit 8dfcc147a3</x:v>
      </x:c>
    </x:row>
    <x:row r="566" ht="48" customHeight="1">
      <x:c r="A566" s="18" t="str">
        <x:v>vocal-remover</x:v>
      </x:c>
      <x:c r="B566" s="18" t="str">
        <x:v>Vocal Remover — Separate Vocals and Accompaniment Locally</x:v>
      </x:c>
      <x:c r="C566" s="18" t="str">
        <x:v>tools.usefulverse.com</x:v>
      </x:c>
      <x:c r="D566" s="18" t="str">
        <x:v>https://tools.usefulverse.com/tools/vocal-remover/</x:v>
      </x:c>
      <x:c r="E566" s="22" t="n">
        <x:v>37</x:v>
      </x:c>
      <x:c r="F566" s="18" t="str">
        <x:v>Sí</x:v>
      </x:c>
      <x:c r="G566" s="18" t="str">
        <x:v>Separate a short stereo music sample into estimated vocal and accompaniment WAV stems in your browser. The audio is never uploaded; download the public model on demand.</x:v>
      </x:c>
      <x:c r="H566" s="18" t="str">
        <x:v>markets100 · commit 8dfcc147a3</x:v>
      </x:c>
    </x:row>
    <x:row r="567" ht="48" customHeight="1">
      <x:c r="A567" s="18" t="str">
        <x:v>voice-changer</x:v>
      </x:c>
      <x:c r="B567" s="18" t="str">
        <x:v>Voice Changer Online — Free Voice Effects in Your Browser</x:v>
      </x:c>
      <x:c r="C567" s="18" t="str">
        <x:v>tools.usefulverse.com</x:v>
      </x:c>
      <x:c r="D567" s="18" t="str">
        <x:v>https://tools.usefulverse.com/tools/voice-changer/</x:v>
      </x:c>
      <x:c r="E567" s="22" t="n">
        <x:v>37</x:v>
      </x:c>
      <x:c r="F567" s="18" t="str">
        <x:v>Sí</x:v>
      </x:c>
      <x:c r="G567" s="18" t="str">
        <x:v>Change pitch, shape radio or deep-voice effects, preview echo, and export processed audio locally. Free, private, and no upload.</x:v>
      </x:c>
      <x:c r="H567" s="18" t="str">
        <x:v>markets100 · commit 8dfcc147a3</x:v>
      </x:c>
    </x:row>
    <x:row r="568" ht="48" customHeight="1">
      <x:c r="A568" s="18" t="str">
        <x:v>frequency-tone-generator</x:v>
      </x:c>
      <x:c r="B568" s="18" t="str">
        <x:v>Tone Generator Online — Free Frequency &amp; Sweep Tool</x:v>
      </x:c>
      <x:c r="C568" s="18" t="str">
        <x:v>tools.usefulverse.com</x:v>
      </x:c>
      <x:c r="D568" s="18" t="str">
        <x:v>https://tools.usefulverse.com/tools/frequency-tone-generator/</x:v>
      </x:c>
      <x:c r="E568" s="22" t="n">
        <x:v>37</x:v>
      </x:c>
      <x:c r="F568" s="18" t="str">
        <x:v>Sí</x:v>
      </x:c>
      <x:c r="G568" s="18" t="str">
        <x:v>Play or export simple audio tones and frequency sweeps. Choose frequency, waveform, duration and mono or stereo WAV; processing stays in your browser.</x:v>
      </x:c>
      <x:c r="H568" s="18" t="str">
        <x:v>markets100 · commit 8dfcc147a3</x:v>
      </x:c>
    </x:row>
    <x:row r="569" ht="48" customHeight="1">
      <x:c r="A569" s="18" t="str">
        <x:v>barcode-reader</x:v>
      </x:c>
      <x:c r="B569" s="18" t="str">
        <x:v>Barcode Scanner Online — Free Local EAN &amp; Code 128 Reader</x:v>
      </x:c>
      <x:c r="C569" s="18" t="str">
        <x:v>tools.usefulverse.com</x:v>
      </x:c>
      <x:c r="D569" s="18" t="str">
        <x:v>https://tools.usefulverse.com/tools/barcode-reader/</x:v>
      </x:c>
      <x:c r="E569" s="22" t="n">
        <x:v>37</x:v>
      </x:c>
      <x:c r="F569" s="18" t="str">
        <x:v>Sí</x:v>
      </x:c>
      <x:c r="G569" s="18" t="str">
        <x:v>Scan EAN, UPC and Code 128 barcodes from an image or camera in your browser. Results stay on your device; no product lookup or upload.</x:v>
      </x:c>
      <x:c r="H569" s="18" t="str">
        <x:v>markets100 · commit 8dfcc147a3</x:v>
      </x:c>
    </x:row>
    <x:row r="570" ht="48" customHeight="1">
      <x:c r="A570" s="18" t="str">
        <x:v>resume-structure-checker</x:v>
      </x:c>
      <x:c r="B570" s="18" t="str">
        <x:v>ATS Resume Checker — Free Local PDF &amp; DOCX Review</x:v>
      </x:c>
      <x:c r="C570" s="18" t="str">
        <x:v>tools.usefulverse.com</x:v>
      </x:c>
      <x:c r="D570" s="18" t="str">
        <x:v>https://tools.usefulverse.com/tools/resume-structure-checker/</x:v>
      </x:c>
      <x:c r="E570" s="22" t="n">
        <x:v>37</x:v>
      </x:c>
      <x:c r="F570" s="18" t="str">
        <x:v>Sí</x:v>
      </x:c>
      <x:c r="G570" s="18" t="str">
        <x:v>Check resume text, headings, sections and links locally. Compare job-description terms by count; no ATS score, prediction or upload.</x:v>
      </x:c>
      <x:c r="H570" s="18" t="str">
        <x:v>markets100 · commit 8dfcc147a3</x:v>
      </x:c>
    </x:row>
    <x:row r="571" ht="48" customHeight="1">
      <x:c r="A571" s="18" t="str">
        <x:v>aquarium-water-mixing-calculator</x:v>
      </x:c>
      <x:c r="B571" s="18" t="str">
        <x:v>Aquarium Water Mixing Calculator — Free GH &amp; KH Planner</x:v>
      </x:c>
      <x:c r="C571" s="18" t="str">
        <x:v>tools.usefulverse.com</x:v>
      </x:c>
      <x:c r="D571" s="18" t="str">
        <x:v>https://tools.usefulverse.com/tools/aquarium-water-mixing-calculator/</x:v>
      </x:c>
      <x:c r="E571" s="22" t="n">
        <x:v>37</x:v>
      </x:c>
      <x:c r="F571" s="18" t="str">
        <x:v>Sí</x:v>
      </x:c>
      <x:c r="G571" s="18" t="str">
        <x:v>Mix two water sources by measured GH and KH. Convert German, French, ppm and meq/L hardness units, check if both targets are compatible, and calculate litres locally.</x:v>
      </x:c>
      <x:c r="H571" s="18" t="str">
        <x:v>markets100 · commit 8dfcc147a3</x:v>
      </x:c>
    </x:row>
    <x:row r="572" ht="48" customHeight="1">
      <x:c r="A572" s="18" t="str">
        <x:v>carbon-footprint-calculator</x:v>
      </x:c>
      <x:c r="B572" s="18" t="str">
        <x:v>Carbon Footprint Calculator — Compare Emission Scenarios</x:v>
      </x:c>
      <x:c r="C572" s="18" t="str">
        <x:v>tools.usefulverse.com</x:v>
      </x:c>
      <x:c r="D572" s="18" t="str">
        <x:v>https://tools.usefulverse.com/tools/carbon-footprint-calculator/</x:v>
      </x:c>
      <x:c r="E572" s="22" t="n">
        <x:v>37</x:v>
      </x:c>
      <x:c r="F572" s="18" t="str">
        <x:v>Sí</x:v>
      </x:c>
      <x:c r="G572" s="18" t="str">
        <x:v>Compare annual electricity, heating, transport and flight scenarios with dated factors and cited assumptions. Free and private in your browser.</x:v>
      </x:c>
      <x:c r="H572" s="18" t="str">
        <x:v>markets100 · commit 8dfcc147a3</x:v>
      </x:c>
    </x:row>
    <x:row r="573" ht="48" customHeight="1">
      <x:c r="A573" s="18" t="str">
        <x:v>dicom-viewer</x:v>
      </x:c>
      <x:c r="B573" s="18" t="str">
        <x:v>DICOM Viewer — Open Medical Images Privately in Your Browser</x:v>
      </x:c>
      <x:c r="C573" s="18" t="str">
        <x:v>tools.usefulverse.com</x:v>
      </x:c>
      <x:c r="D573" s="18" t="str">
        <x:v>https://tools.usefulverse.com/tools/dicom-viewer/</x:v>
      </x:c>
      <x:c r="E573" s="22" t="n">
        <x:v>37</x:v>
      </x:c>
      <x:c r="F573" s="18" t="str">
        <x:v>Sí</x:v>
      </x:c>
      <x:c r="G573" s="18" t="str">
        <x:v>Open and scroll through supported uncompressed monochrome DICOM image series locally. Adjust window and level; files are not uploaded.</x:v>
      </x:c>
      <x:c r="H573" s="18" t="str">
        <x:v>markets100 · commit 8dfcc147a3</x:v>
      </x:c>
    </x:row>
    <x:row r="574" ht="48" customHeight="1">
      <x:c r="A574" s="18" t="str">
        <x:v>crazy-eights-card-game</x:v>
      </x:c>
      <x:c r="B574" s="18" t="str">
        <x:v>Vri åtter Online — Free Crazy Eights Card Game</x:v>
      </x:c>
      <x:c r="C574" s="18" t="str">
        <x:v>tools.usefulverse.com</x:v>
      </x:c>
      <x:c r="D574" s="18" t="str">
        <x:v>https://tools.usefulverse.com/tools/crazy-eights-card-game/</x:v>
      </x:c>
      <x:c r="E574" s="22" t="n">
        <x:v>37</x:v>
      </x:c>
      <x:c r="F574" s="18" t="str">
        <x:v>Sí</x:v>
      </x:c>
      <x:c r="G574" s="18" t="str">
        <x:v>Play Vri åtter locally against up to five computer opponents. Match suit or rank, choose a suit with an eight, and keep scores on this device. Free to play; no account or upload.</x:v>
      </x:c>
      <x:c r="H574" s="18" t="str">
        <x:v>markets100 · commit 8dfcc147a3</x:v>
      </x:c>
    </x:row>
    <x:row r="575" ht="48" customHeight="1">
      <x:c r="A575" s="18" t="str">
        <x:v>idiot-card-game</x:v>
      </x:c>
      <x:c r="B575" s="18" t="str">
        <x:v>Idiot Card Game Online — Play the Norwegian Shedding Game</x:v>
      </x:c>
      <x:c r="C575" s="18" t="str">
        <x:v>tools.usefulverse.com</x:v>
      </x:c>
      <x:c r="D575" s="18" t="str">
        <x:v>https://tools.usefulverse.com/tools/idiot-card-game/</x:v>
      </x:c>
      <x:c r="E575" s="22" t="n">
        <x:v>37</x:v>
      </x:c>
      <x:c r="F575" s="18" t="str">
        <x:v>Sí</x:v>
      </x:c>
      <x:c r="G575" s="18" t="str">
        <x:v>Play a local Idiot card game with up to four computer opponents. Clear your hand, then your face-up and hidden table cards. The rules are stated, the cards stay on this device, and nothing is uploaded.</x:v>
      </x:c>
      <x:c r="H575" s="18" t="str">
        <x:v>markets100 · commit 8dfcc147a3</x:v>
      </x:c>
    </x:row>
    <x:row r="576" ht="48" customHeight="1">
      <x:c r="A576" s="18" t="str">
        <x:v>president-card-game</x:v>
      </x:c>
      <x:c r="B576" s="18" t="str">
        <x:v>President Card Game Online — Set Group Rules and Play</x:v>
      </x:c>
      <x:c r="C576" s="18" t="str">
        <x:v>tools.usefulverse.com</x:v>
      </x:c>
      <x:c r="D576" s="18" t="str">
        <x:v>https://tools.usefulverse.com/tools/president-card-game/</x:v>
      </x:c>
      <x:c r="E576" s="22" t="n">
        <x:v>37</x:v>
      </x:c>
      <x:c r="F576" s="18" t="str">
        <x:v>Sí</x:v>
      </x:c>
      <x:c r="G576" s="18" t="str">
        <x:v>Play a shedding card game against local computer opponents. Climb with higher sets, pass, earn ranks and choose key group rules. The game stays on this device.</x:v>
      </x:c>
      <x:c r="H576" s="18" t="str">
        <x:v>markets100 · commit 8dfcc147a3</x:v>
      </x:c>
    </x:row>
    <x:row r="577" ht="48" customHeight="1">
      <x:c r="A577" s="18" t="str">
        <x:v>war-card-game</x:v>
      </x:c>
      <x:c r="B577" s="18" t="str">
        <x:v>War Card Game Online — Play the Classic Card Battle</x:v>
      </x:c>
      <x:c r="C577" s="18" t="str">
        <x:v>tools.usefulverse.com</x:v>
      </x:c>
      <x:c r="D577" s="18" t="str">
        <x:v>https://tools.usefulverse.com/tools/war-card-game/</x:v>
      </x:c>
      <x:c r="E577" s="22" t="n">
        <x:v>37</x:v>
      </x:c>
      <x:c r="F577" s="18" t="str">
        <x:v>Sí</x:v>
      </x:c>
      <x:c r="G577" s="18" t="str">
        <x:v>Play the classic War card game locally with two to four players. Flip cards, resolve ties with face-down and face-up cards, and keep every card on this device.</x:v>
      </x:c>
      <x:c r="H577" s="18" t="str">
        <x:v>markets100 · commit 8dfcc147a3</x:v>
      </x:c>
    </x:row>
    <x:row r="578" ht="48" customHeight="1">
      <x:c r="A578" s="18" t="str">
        <x:v>amerikaner-card-game</x:v>
      </x:c>
      <x:c r="B578" s="18" t="str">
        <x:v>Amerikaner Card Game Online — Bid, Find a Partner and Win Tricks</x:v>
      </x:c>
      <x:c r="C578" s="18" t="str">
        <x:v>tools.usefulverse.com</x:v>
      </x:c>
      <x:c r="D578" s="18" t="str">
        <x:v>https://tools.usefulverse.com/tools/amerikaner-card-game/</x:v>
      </x:c>
      <x:c r="E578" s="22" t="n">
        <x:v>37</x:v>
      </x:c>
      <x:c r="F578" s="18" t="str">
        <x:v>Sí</x:v>
      </x:c>
      <x:c r="G578" s="18" t="str">
        <x:v>Play the Norwegian Amerikaner card game locally with three to six players. Bid for tricks, choose trump, find your partner and keep the score on this device.</x:v>
      </x:c>
      <x:c r="H578" s="18" t="str">
        <x:v>markets100 · commit 8dfcc147a3</x:v>
      </x:c>
    </x:row>
    <x:row r="579" ht="48" customHeight="1">
      <x:c r="A579" s="18" t="str">
        <x:v>gris-card-game</x:v>
      </x:c>
      <x:c r="B579" s="18" t="str">
        <x:v>Gris Card Game — Learn and Play the Norwegian Suit-Collecting Variant</x:v>
      </x:c>
      <x:c r="C579" s="18" t="str">
        <x:v>tools.usefulverse.com</x:v>
      </x:c>
      <x:c r="D579" s="18" t="str">
        <x:v>https://tools.usefulverse.com/tools/gris-card-game/</x:v>
      </x:c>
      <x:c r="E579" s="22" t="n">
        <x:v>37</x:v>
      </x:c>
      <x:c r="F579" s="18" t="str">
        <x:v>Sí</x:v>
      </x:c>
      <x:c r="G579" s="18" t="str">
        <x:v>Play the named Norwegian Gris card-game variant with three to eight local seats. Collect five cards of one suit, pass left, and use simulated CPU reactions. No online multiplayer.</x:v>
      </x:c>
      <x:c r="H579" s="18" t="str">
        <x:v>markets100 · commit 8dfcc147a3</x:v>
      </x:c>
    </x:row>
    <x:row r="580" ht="48" customHeight="1">
      <x:c r="A580" s="18" t="str">
        <x:v>snakes-and-ladders</x:v>
      </x:c>
      <x:c r="B580" s="18" t="str">
        <x:v>Snakes and Ladders — Free Local Board Game</x:v>
      </x:c>
      <x:c r="C580" s="18" t="str">
        <x:v>tools.usefulverse.com</x:v>
      </x:c>
      <x:c r="D580" s="18" t="str">
        <x:v>https://tools.usefulverse.com/tools/snakes-and-ladders/</x:v>
      </x:c>
      <x:c r="E580" s="22" t="n">
        <x:v>37</x:v>
      </x:c>
      <x:c r="F580" s="18" t="str">
        <x:v>Sí</x:v>
      </x:c>
      <x:c r="G580" s="18" t="str">
        <x:v>Play a simple Snakes and Ladders game on an original 100-square board. Roll locally, climb ladders, slide down snakes and choose the finish rule that fits your group. Play against the computer or pass one device around.</x:v>
      </x:c>
      <x:c r="H580" s="18" t="str">
        <x:v>markets100 · commit 8dfcc147a3</x:v>
      </x:c>
    </x:row>
    <x:row r="581" ht="48" customHeight="1">
      <x:c r="A581" s="18" t="str">
        <x:v>pinball-game</x:v>
      </x:c>
      <x:c r="B581" s="18" t="str">
        <x:v>Pinball Game — Free Local Flipper and Bumper Table</x:v>
      </x:c>
      <x:c r="C581" s="18" t="str">
        <x:v>tools.usefulverse.com</x:v>
      </x:c>
      <x:c r="D581" s="18" t="str">
        <x:v>https://tools.usefulverse.com/tools/pinball-game/</x:v>
      </x:c>
      <x:c r="E581" s="22" t="n">
        <x:v>37</x:v>
      </x:c>
      <x:c r="F581" s="18" t="str">
        <x:v>Sí</x:v>
      </x:c>
      <x:c r="G581" s="18" t="str">
        <x:v>Play a small, original pinball table in your browser. Launch three balls, use the left and right flippers, hit bumpers and keep your score on this device. No bets, prizes or online match.</x:v>
      </x:c>
      <x:c r="H581" s="18" t="str">
        <x:v>markets100 · commit 8dfcc147a3</x:v>
      </x:c>
    </x:row>
    <x:row r="582" ht="48" customHeight="1">
      <x:c r="A582" s="18" t="str">
        <x:v>geography-map-quiz</x:v>
      </x:c>
      <x:c r="B582" s="18" t="str">
        <x:v>World Geography Map Quiz — Countries, Flags and Continents</x:v>
      </x:c>
      <x:c r="C582" s="18" t="str">
        <x:v>tools.usefulverse.com</x:v>
      </x:c>
      <x:c r="D582" s="18" t="str">
        <x:v>https://tools.usefulverse.com/tools/geography-map-quiz/</x:v>
      </x:c>
      <x:c r="E582" s="22" t="n">
        <x:v>37</x:v>
      </x:c>
      <x:c r="F582" s="18" t="str">
        <x:v>Sí</x:v>
      </x:c>
      <x:c r="G582" s="18" t="str">
        <x:v>Practice finding countries on an interactive world map, recognize flags and learn continents. Choose a region, retry missed places and keep progress on this device.</x:v>
      </x:c>
      <x:c r="H582" s="18" t="str">
        <x:v>markets100 · commit 8dfcc147a3</x:v>
      </x:c>
    </x:row>
    <x:row r="583" ht="48" customHeight="1">
      <x:c r="A583" s="18" t="str">
        <x:v>shut-the-box</x:v>
      </x:c>
      <x:c r="B583" s="18" t="str">
        <x:v>Shut the Box Online — Free Dice and Number-Tile Game</x:v>
      </x:c>
      <x:c r="C583" s="18" t="str">
        <x:v>tools.usefulverse.com</x:v>
      </x:c>
      <x:c r="D583" s="18" t="str">
        <x:v>https://tools.usefulverse.com/tools/shut-the-box/</x:v>
      </x:c>
      <x:c r="E583" s="22" t="n">
        <x:v>37</x:v>
      </x:c>
      <x:c r="F583" s="18" t="str">
        <x:v>Sí</x:v>
      </x:c>
      <x:c r="G583" s="18" t="str">
        <x:v>Play Shut the Box with clear dice-rule choices. Close numbered tiles that add up to each roll, practise alone or take turns against a local computer, and keep scores on this device.</x:v>
      </x:c>
      <x:c r="H583" s="18" t="str">
        <x:v>markets100 · commit 8dfcc147a3</x:v>
      </x:c>
    </x:row>
    <x:row r="584" ht="48" customHeight="1">
      <x:c r="A584" s="18" t="str">
        <x:v>norway-employer-cost-calculator</x:v>
      </x:c>
      <x:c r="B584" s="18" t="str">
        <x:v>Norway Employer Cost Calculator 2026 — Payroll, Holiday Pay and Employer Contribution</x:v>
      </x:c>
      <x:c r="C584" s="18" t="str">
        <x:v>tools.usefulverse.com</x:v>
      </x:c>
      <x:c r="D584" s="18" t="str">
        <x:v>https://tools.usefulverse.com/tools/norway-employer-cost-calculator/</x:v>
      </x:c>
      <x:c r="E584" s="22" t="n">
        <x:v>37</x:v>
      </x:c>
      <x:c r="F584" s="18" t="str">
        <x:v>Sí</x:v>
      </x:c>
      <x:c r="G584" s="18" t="str">
        <x:v>Estimate annual Norwegian payroll cost using the 2026 employer contribution zone rates. Add holiday pay, pension, taxable pay and other costs with clear assumptions.</x:v>
      </x:c>
      <x:c r="H584" s="18" t="str">
        <x:v>markets100 · commit 8dfcc147a3</x:v>
      </x:c>
    </x:row>
    <x:row r="585" ht="48" customHeight="1">
      <x:c r="A585" s="18" t="str">
        <x:v>norway-company-car-tax-calculator</x:v>
      </x:c>
      <x:c r="B585" s="18" t="str">
        <x:v>Norway Company Car Tax Calculator 2026 — Taxable Benefit Estimate</x:v>
      </x:c>
      <x:c r="C585" s="18" t="str">
        <x:v>tools.usefulverse.com</x:v>
      </x:c>
      <x:c r="D585" s="18" t="str">
        <x:v>https://tools.usefulverse.com/tools/norway-company-car-tax-calculator/</x:v>
      </x:c>
      <x:c r="E585" s="22" t="n">
        <x:v>37</x:v>
      </x:c>
      <x:c r="F585" s="18" t="str">
        <x:v>Sí</x:v>
      </x:c>
      <x:c r="G585" s="18" t="str">
        <x:v>Estimate Norway’s 2026 taxable benefit for private use of a standard company passenger car. Enter list price, qualifying reductions, months and your marginal tax estimate.</x:v>
      </x:c>
      <x:c r="H585" s="18" t="str">
        <x:v>markets100 · commit 8dfcc147a3</x:v>
      </x:c>
    </x:row>
    <x:row r="586" ht="48" customHeight="1">
      <x:c r="A586" s="18" t="str">
        <x:v>norway-unemployment-benefit-calculator</x:v>
      </x:c>
      <x:c r="B586" s="18" t="str">
        <x:v>Norway Unemployment Benefit Calculator 2026 — Dagpenger Estimate</x:v>
      </x:c>
      <x:c r="C586" s="18" t="str">
        <x:v>tools.usefulverse.com</x:v>
      </x:c>
      <x:c r="D586" s="18" t="str">
        <x:v>https://tools.usefulverse.com/tools/norway-unemployment-benefit-calculator/</x:v>
      </x:c>
      <x:c r="E586" s="22" t="n">
        <x:v>37</x:v>
      </x:c>
      <x:c r="F586" s="18" t="str">
        <x:v>Sí</x:v>
      </x:c>
      <x:c r="G586" s="18" t="str">
        <x:v>Estimate a Norway unemployment benefit scenario from NAV income periods, working hours lost, the 6G cap and child supplement. See the dated rules and limits.</x:v>
      </x:c>
      <x:c r="H586" s="18" t="str">
        <x:v>markets100 · commit 8dfcc147a3</x:v>
      </x:c>
    </x:row>
    <x:row r="587" ht="48" customHeight="1">
      <x:c r="A587" s="18" t="str">
        <x:v>norway-parental-benefit-planner</x:v>
      </x:c>
      <x:c r="B587" s="18" t="str">
        <x:v>Norway Parental Leave Planner 2026 — Weeks, Quotas and Calendar</x:v>
      </x:c>
      <x:c r="C587" s="18" t="str">
        <x:v>tools.usefulverse.com</x:v>
      </x:c>
      <x:c r="D587" s="18" t="str">
        <x:v>https://tools.usefulverse.com/tools/norway-parental-benefit-planner/</x:v>
      </x:c>
      <x:c r="E587" s="22" t="n">
        <x:v>37</x:v>
      </x:c>
      <x:c r="F587" s="18" t="str">
        <x:v>Sí</x:v>
      </x:c>
      <x:c r="G587" s="18" t="str">
        <x:v>Plan Norwegian parental-benefit weeks for birth or adoption. Compare 80% and 100% coverage, assign each parent’s quotas, schedule partial leave and export a private calendar file.</x:v>
      </x:c>
      <x:c r="H587" s="18" t="str">
        <x:v>markets100 · commit 8dfcc147a3</x:v>
      </x:c>
    </x:row>
    <x:row r="588" ht="48" customHeight="1">
      <x:c r="A588" s="18" t="str">
        <x:v>norway-child-support-calculator</x:v>
      </x:c>
      <x:c r="B588" s="18" t="str">
        <x:v>Norway Child Support Calculator 2026 — Private Agreement Estimate</x:v>
      </x:c>
      <x:c r="C588" s="18" t="str">
        <x:v>tools.usefulverse.com</x:v>
      </x:c>
      <x:c r="D588" s="18" t="str">
        <x:v>https://tools.usefulverse.com/tools/norway-child-support-calculator/</x:v>
      </x:c>
      <x:c r="E588" s="22" t="n">
        <x:v>37</x:v>
      </x:c>
      <x:c r="F588" s="18" t="str">
        <x:v>Sí</x:v>
      </x:c>
      <x:c r="G588" s="18" t="str">
        <x:v>Explore a simplified Norwegian child-support scenario using dated 2026 reference rates. Compare parent incomes, child age, residence, childcare and visitation without sending entries to a server.</x:v>
      </x:c>
      <x:c r="H588" s="18" t="str">
        <x:v>markets100 · commit 8dfcc147a3</x:v>
      </x:c>
    </x:row>
    <x:row r="589" ht="48" customHeight="1">
      <x:c r="A589" s="18" t="str">
        <x:v>norway-housing-benefit-calculator</x:v>
      </x:c>
      <x:c r="B589" s="18" t="str">
        <x:v>Norway Housing Benefit Calculator 2026 — Monthly Scenario</x:v>
      </x:c>
      <x:c r="C589" s="18" t="str">
        <x:v>tools.usefulverse.com</x:v>
      </x:c>
      <x:c r="D589" s="18" t="str">
        <x:v>https://tools.usefulverse.com/tools/norway-housing-benefit-calculator/</x:v>
      </x:c>
      <x:c r="E589" s="22" t="n">
        <x:v>37</x:v>
      </x:c>
      <x:c r="F589" s="18" t="str">
        <x:v>Sí</x:v>
      </x:c>
      <x:c r="G589" s="18" t="str">
        <x:v>Estimate a standard monthly Norwegian housing-benefit scenario from the household income basis, approved housing costs, household size and municipality group. See the 2026 assumptions and continue to Husbanken for a current eligibility check.</x:v>
      </x:c>
      <x:c r="H589" s="18" t="str">
        <x:v>markets100 · commit 8dfcc147a3</x:v>
      </x:c>
    </x:row>
    <x:row r="590" ht="48" customHeight="1">
      <x:c r="A590" s="18" t="str">
        <x:v>norway-disability-benefit-calculator</x:v>
      </x:c>
      <x:c r="B590" s="18" t="str">
        <x:v>Norway Disability Benefit Calculator 2026 — Gross Scenario</x:v>
      </x:c>
      <x:c r="C590" s="18" t="str">
        <x:v>tools.usefulverse.com</x:v>
      </x:c>
      <x:c r="D590" s="18" t="str">
        <x:v>https://tools.usefulverse.com/tools/norway-disability-benefit-calculator/</x:v>
      </x:c>
      <x:c r="E590" s="22" t="n">
        <x:v>37</x:v>
      </x:c>
      <x:c r="F590" s="18" t="str">
        <x:v>Sí</x:v>
      </x:c>
      <x:c r="G590" s="18" t="str">
        <x:v>Explore a Norway disability-benefit earnings scenario using the best three of five income years, the current 6G cap and NAV’s 66% rate. Enter income already adjusted to current value and compare an optional minimum from your NAV notice.</x:v>
      </x:c>
      <x:c r="H590" s="18" t="str">
        <x:v>markets100 · commit 8dfcc147a3</x:v>
      </x:c>
    </x:row>
    <x:row r="591" ht="48" customHeight="1">
      <x:c r="A591" s="18" t="str">
        <x:v>norway-student-finance-calculator</x:v>
      </x:c>
      <x:c r="B591" s="18" t="str">
        <x:v>Norway Student Loan Calculator 2026 — Loan-to-Grant Conversion</x:v>
      </x:c>
      <x:c r="C591" s="18" t="str">
        <x:v>tools.usefulverse.com</x:v>
      </x:c>
      <x:c r="D591" s="18" t="str">
        <x:v>https://tools.usefulverse.com/tools/norway-student-finance-calculator/</x:v>
      </x:c>
      <x:c r="E591" s="22" t="n">
        <x:v>37</x:v>
      </x:c>
      <x:c r="F591" s="18" t="str">
        <x:v>Sí</x:v>
      </x:c>
      <x:c r="G591" s="18" t="str">
        <x:v>Estimate how much of an eligible Norwegian higher-education basis loan could be converted to a grant under Lånekassen’s 2026 rules. Include credits, degree completion, calendar-year income and net assets.</x:v>
      </x:c>
      <x:c r="H591" s="18" t="str">
        <x:v>markets100 · commit 8dfcc147a3</x:v>
      </x:c>
    </x:row>
    <x:row r="592" ht="48" customHeight="1">
      <x:c r="A592" s="18" t="str">
        <x:v>norway-bsu-benefit-calculator</x:v>
      </x:c>
      <x:c r="B592" s="18" t="str">
        <x:v>Norway BSU Calculator 2026 — Savings Limit and Tax Deduction</x:v>
      </x:c>
      <x:c r="C592" s="18" t="str">
        <x:v>tools.usefulverse.com</x:v>
      </x:c>
      <x:c r="D592" s="18" t="str">
        <x:v>https://tools.usefulverse.com/tools/norway-bsu-benefit-calculator/</x:v>
      </x:c>
      <x:c r="E592" s="22" t="n">
        <x:v>37</x:v>
      </x:c>
      <x:c r="F592" s="18" t="str">
        <x:v>Sí</x:v>
      </x:c>
      <x:c r="G592" s="18" t="str">
        <x:v>Estimate eligible 2026 BSU deposits, the tax deduction you can actually use, remaining annual and lifetime limits, and an optional comparison with ordinary savings using interest rates you enter.</x:v>
      </x:c>
      <x:c r="H592" s="18" t="str">
        <x:v>markets100 · commit 8dfcc147a3</x:v>
      </x:c>
    </x:row>
    <x:row r="593" ht="48" customHeight="1">
      <x:c r="A593" s="18" t="str">
        <x:v>norway-commuting-deduction-calculator</x:v>
      </x:c>
      <x:c r="B593" s="18" t="str">
        <x:v>Norway Commuting Deduction Calculator 2026 — Home to Work</x:v>
      </x:c>
      <x:c r="C593" s="18" t="str">
        <x:v>tools.usefulverse.com</x:v>
      </x:c>
      <x:c r="D593" s="18" t="str">
        <x:v>https://tools.usefulverse.com/tools/norway-commuting-deduction-calculator/</x:v>
      </x:c>
      <x:c r="E593" s="22" t="n">
        <x:v>37</x:v>
      </x:c>
      <x:c r="F593" s="18" t="str">
        <x:v>Sí</x:v>
      </x:c>
      <x:c r="G593" s="18" t="str">
        <x:v>Estimate the Norwegian 2026 distance-based deduction for travel between home and a permanent workplace. Enter actual commuting days and your own tax-effect rate.</x:v>
      </x:c>
      <x:c r="H593" s="18" t="str">
        <x:v>markets100 · commit 8dfcc147a3</x:v>
      </x:c>
    </x:row>
    <x:row r="594" ht="48" customHeight="1">
      <x:c r="A594" s="18" t="str">
        <x:v>norway-mileage-reimbursement-calculator</x:v>
      </x:c>
      <x:c r="B594" s="18" t="str">
        <x:v>Norway Mileage Reimbursement Calculator 2026 — Taxable Amount</x:v>
      </x:c>
      <x:c r="C594" s="18" t="str">
        <x:v>tools.usefulverse.com</x:v>
      </x:c>
      <x:c r="D594" s="18" t="str">
        <x:v>https://tools.usefulverse.com/tools/norway-mileage-reimbursement-calculator/</x:v>
      </x:c>
      <x:c r="E594" s="22" t="n">
        <x:v>37</x:v>
      </x:c>
      <x:c r="F594" s="18" t="str">
        <x:v>Sí</x:v>
      </x:c>
      <x:c r="G594" s="18" t="str">
        <x:v>Log Norwegian private-car work trips, compare the entered reimbursement with the 2026 tax-free allowance and qualifying supplements, and export a local expense summary.</x:v>
      </x:c>
      <x:c r="H594" s="18" t="str">
        <x:v>markets100 · commit 8dfcc147a3</x:v>
      </x:c>
    </x:row>
    <x:row r="595" ht="48" customHeight="1">
      <x:c r="A595" s="18" t="str">
        <x:v>late-payment-interest-calculator</x:v>
      </x:c>
      <x:c r="B595" s="18" t="str">
        <x:v>Late Payment Interest Calculator — Rate Periods and Partial Payments</x:v>
      </x:c>
      <x:c r="C595" s="18" t="str">
        <x:v>tools.usefulverse.com</x:v>
      </x:c>
      <x:c r="D595" s="18" t="str">
        <x:v>https://tools.usefulverse.com/tools/late-payment-interest-calculator/</x:v>
      </x:c>
      <x:c r="E595" s="22" t="n">
        <x:v>37</x:v>
      </x:c>
      <x:c r="F595" s="18" t="str">
        <x:v>Sí</x:v>
      </x:c>
      <x:c r="G595" s="18" t="str">
        <x:v>Estimate simple late-payment interest across changing annual rates and principal-reducing partial payments. Use Norway’s official 2026 profile or enter another jurisdiction’s published rates.</x:v>
      </x:c>
      <x:c r="H595" s="18" t="str">
        <x:v>markets100 · commit 8dfcc147a3</x:v>
      </x:c>
    </x:row>
    <x:row r="596" ht="48" customHeight="1">
      <x:c r="A596" s="18" t="str">
        <x:v>norway-import-cost-calculator</x:v>
      </x:c>
      <x:c r="B596" s="18" t="str">
        <x:v>Norway Import Cost Calculator — Customs Duty, VAT and Fees</x:v>
      </x:c>
      <x:c r="C596" s="18" t="str">
        <x:v>tools.usefulverse.com</x:v>
      </x:c>
      <x:c r="D596" s="18" t="str">
        <x:v>https://tools.usefulverse.com/tools/norway-import-cost-calculator/</x:v>
      </x:c>
      <x:c r="E596" s="22" t="n">
        <x:v>37</x:v>
      </x:c>
      <x:c r="F596" s="18" t="str">
        <x:v>Sí</x:v>
      </x:c>
      <x:c r="G596" s="18" t="str">
        <x:v>Estimate a Norway-bound parcel’s customs duty, import VAT, VOEC checkout VAT and carrier fee. Enter the applicable duty rate and your own exchange rate.</x:v>
      </x:c>
      <x:c r="H596" s="18" t="str">
        <x:v>markets100 · commit 8dfcc147a3</x:v>
      </x:c>
    </x:row>
    <x:row r="597" ht="48" customHeight="1">
      <x:c r="A597" s="18" t="str">
        <x:v>norway-car-import-cost-calculator</x:v>
      </x:c>
      <x:c r="B597" s="18" t="str">
        <x:v>Norway Car Import Cost Calculator — VAT and Registration Tax</x:v>
      </x:c>
      <x:c r="C597" s="18" t="str">
        <x:v>tools.usefulverse.com</x:v>
      </x:c>
      <x:c r="D597" s="18" t="str">
        <x:v>https://tools.usefulverse.com/tools/norway-car-import-cost-calculator/</x:v>
      </x:c>
      <x:c r="E597" s="22" t="n">
        <x:v>37</x:v>
      </x:c>
      <x:c r="F597" s="18" t="str">
        <x:v>Sí</x:v>
      </x:c>
      <x:c r="G597" s="18" t="str">
        <x:v>Estimate a Norway-bound car’s customs value, import VAT, one-off registration tax, scrap deposit and greenhouse-gas charge, then compare with a Norwegian price you enter.</x:v>
      </x:c>
      <x:c r="H597" s="18" t="str">
        <x:v>markets100 · commit 8dfcc147a3</x:v>
      </x:c>
    </x:row>
    <x:row r="598" ht="48" customHeight="1">
      <x:c r="A598" s="18" t="str">
        <x:v>norway-toll-cost-calculator</x:v>
      </x:c>
      <x:c r="B598" s="18" t="str">
        <x:v>Norway Toll Calculator — Route, Vehicle and Time of Day</x:v>
      </x:c>
      <x:c r="C598" s="18" t="str">
        <x:v>tools.usefulverse.com</x:v>
      </x:c>
      <x:c r="D598" s="18" t="str">
        <x:v>https://tools.usefulverse.com/tools/norway-toll-cost-calculator/</x:v>
      </x:c>
      <x:c r="E598" s="22" t="n">
        <x:v>37</x:v>
      </x:c>
      <x:c r="F598" s="18" t="str">
        <x:v>Sí</x:v>
      </x:c>
      <x:c r="G598" s="18" t="str">
        <x:v>Estimate confirmed Norwegian road-toll passages from an offline GPX track or selected toll stations using open NVDB tariff data. Review every match, direction and applicable discount.</x:v>
      </x:c>
      <x:c r="H598" s="18" t="str">
        <x:v>markets100 · commit 8dfcc147a3</x:v>
      </x:c>
    </x:row>
    <x:row r="599" ht="48" customHeight="1">
      <x:c r="A599" s="18" t="str">
        <x:v>norway-property-transfer-fee-calculator</x:v>
      </x:c>
      <x:c r="B599" s="18" t="str">
        <x:v>Norway Property Transfer Calculator — Transfer Tax and Registration Fee</x:v>
      </x:c>
      <x:c r="C599" s="18" t="str">
        <x:v>tools.usefulverse.com</x:v>
      </x:c>
      <x:c r="D599" s="18" t="str">
        <x:v>https://tools.usefulverse.com/tools/norway-property-transfer-fee-calculator/</x:v>
      </x:c>
      <x:c r="E599" s="22" t="n">
        <x:v>37</x:v>
      </x:c>
      <x:c r="F599" s="18" t="str">
        <x:v>Sí</x:v>
      </x:c>
      <x:c r="G599" s="18" t="str">
        <x:v>Estimate Norwegian property transfer tax and registration fees using the 2026 rates. Show the acquired share and any legal exemption you have checked.</x:v>
      </x:c>
      <x:c r="H599" s="18" t="str">
        <x:v>markets100 · commit 8dfcc147a3</x:v>
      </x:c>
    </x:row>
    <x:row r="600" ht="48" customHeight="1">
      <x:c r="A600" s="18" t="str">
        <x:v>norway-electricity-support-comparator</x:v>
      </x:c>
      <x:c r="B600" s="18" t="str">
        <x:v>Norway Electricity Support Calculator — Norgespris or Electricity Support</x:v>
      </x:c>
      <x:c r="C600" s="18" t="str">
        <x:v>tools.usefulverse.com</x:v>
      </x:c>
      <x:c r="D600" s="18" t="str">
        <x:v>https://tools.usefulverse.com/tools/norway-electricity-support-comparator/</x:v>
      </x:c>
      <x:c r="E600" s="22" t="n">
        <x:v>37</x:v>
      </x:c>
      <x:c r="F600" s="18" t="str">
        <x:v>Sí</x:v>
      </x:c>
      <x:c r="G600" s="18" t="str">
        <x:v>Compare Norway’s 2026 electricity support scheme with Norgespris using your own hourly consumption and spot-price CSV. See VAT, grid fees and support separately.</x:v>
      </x:c>
      <x:c r="H600" s="18" t="str">
        <x:v>markets100 · commit 8dfcc147a3</x:v>
      </x:c>
    </x:row>
    <x:row r="601" ht="48" customHeight="1">
      <x:c r="A601" s="18" t="str">
        <x:v>radical-calculator</x:v>
      </x:c>
      <x:c r="B601" s="18" t="str">
        <x:v>Square Root Simplifier Free | UsefulVerse</x:v>
      </x:c>
      <x:c r="C601" s="18" t="str">
        <x:v>tools.usefulverse.com</x:v>
      </x:c>
      <x:c r="D601" s="18" t="str">
        <x:v>https://tools.usefulverse.com/tools/radical-calculator/</x:v>
      </x:c>
      <x:c r="E601" s="22" t="n">
        <x:v>36</x:v>
      </x:c>
      <x:c r="F601" s="18" t="str">
        <x:v>NO: recuperar</x:v>
      </x:c>
      <x:c r="G601" s="18" t="str">
        <x:v>Simplify square and nth roots exactly, or rationalize a square-root denominator. Free browser calculator with no sign-up.</x:v>
      </x:c>
      <x:c r="H601" s="18" t="str">
        <x:v>Sitemap + metadatos de página pública</x:v>
      </x:c>
    </x:row>
    <x:row r="602" ht="48" customHeight="1">
      <x:c r="A602" s="18" t="str">
        <x:v>limit-calculator</x:v>
      </x:c>
      <x:c r="B602" s="18" t="str">
        <x:v>Limit Calculator Free | UsefulVerse</x:v>
      </x:c>
      <x:c r="C602" s="18" t="str">
        <x:v>tools.usefulverse.com</x:v>
      </x:c>
      <x:c r="D602" s="18" t="str">
        <x:v>https://tools.usefulverse.com/tools/limit-calculator/</x:v>
      </x:c>
      <x:c r="E602" s="22" t="n">
        <x:v>36</x:v>
      </x:c>
      <x:c r="F602" s="18" t="str">
        <x:v>NO: recuperar</x:v>
      </x:c>
      <x:c r="G602" s="18" t="str">
        <x:v>Estimate two-sided, one-sided and infinite limits for supported expressions. Free online limit solver with a worked sin(x)/x example.</x:v>
      </x:c>
      <x:c r="H602" s="18" t="str">
        <x:v>Sitemap + metadatos de página pública</x:v>
      </x:c>
    </x:row>
    <x:row r="603" ht="48" customHeight="1">
      <x:c r="A603" s="18" t="str">
        <x:v>inequality-calculator</x:v>
      </x:c>
      <x:c r="B603" s="18" t="str">
        <x:v>Inequality Calculator Free | UsefulVerse</x:v>
      </x:c>
      <x:c r="C603" s="18" t="str">
        <x:v>tools.usefulverse.com</x:v>
      </x:c>
      <x:c r="D603" s="18" t="str">
        <x:v>https://tools.usefulverse.com/tools/inequality-calculator/</x:v>
      </x:c>
      <x:c r="E603" s="22" t="n">
        <x:v>36</x:v>
      </x:c>
      <x:c r="F603" s="18" t="str">
        <x:v>NO: recuperar</x:v>
      </x:c>
      <x:c r="G603" s="18" t="str">
        <x:v>Solve linear and quadratic inequalities. Get interval notation, critical points and a number-line view with this free inequality calculator.</x:v>
      </x:c>
      <x:c r="H603" s="18" t="str">
        <x:v>Sitemap + metadatos de página pública</x:v>
      </x:c>
    </x:row>
    <x:row r="604" ht="48" customHeight="1">
      <x:c r="A604" s="18" t="str">
        <x:v>rref-calculator</x:v>
      </x:c>
      <x:c r="B604" s="18" t="str">
        <x:v>RREF Calculator Free | UsefulVerse</x:v>
      </x:c>
      <x:c r="C604" s="18" t="str">
        <x:v>tools.usefulverse.com</x:v>
      </x:c>
      <x:c r="D604" s="18" t="str">
        <x:v>https://tools.usefulverse.com/tools/rref-calculator/</x:v>
      </x:c>
      <x:c r="E604" s="22" t="n">
        <x:v>36</x:v>
      </x:c>
      <x:c r="F604" s="18" t="str">
        <x:v>NO: recuperar</x:v>
      </x:c>
      <x:c r="G604" s="18" t="str">
        <x:v>Reduce a matrix to reduced row echelon form. See rank, pivot columns and row-operation steps with this free online RREF calculator.</x:v>
      </x:c>
      <x:c r="H604" s="18" t="str">
        <x:v>Sitemap + metadatos de página pública</x:v>
      </x:c>
    </x:row>
    <x:row r="605" ht="48" customHeight="1">
      <x:c r="A605" s="18" t="str">
        <x:v>histogram-calculator</x:v>
      </x:c>
      <x:c r="B605" s="18" t="str">
        <x:v>Histogram Calculator Free | UsefulVerse</x:v>
      </x:c>
      <x:c r="C605" s="18" t="str">
        <x:v>tools.usefulverse.com</x:v>
      </x:c>
      <x:c r="D605" s="18" t="str">
        <x:v>https://tools.usefulverse.com/tools/histogram-calculator/</x:v>
      </x:c>
      <x:c r="E605" s="22" t="n">
        <x:v>36</x:v>
      </x:c>
      <x:c r="F605" s="18" t="str">
        <x:v>NO: recuperar</x:v>
      </x:c>
      <x:c r="G605" s="18" t="str">
        <x:v>Make a histogram from your data. Choose bin rules, compare counts or density, and download a chart or frequency table for free.</x:v>
      </x:c>
      <x:c r="H605" s="18" t="str">
        <x:v>Sitemap + metadatos de página pública</x:v>
      </x:c>
    </x:row>
    <x:row r="606" ht="48" customHeight="1">
      <x:c r="A606" s="18" t="str">
        <x:v>differential-equation-solver</x:v>
      </x:c>
      <x:c r="B606" s="18" t="str">
        <x:v>Differential Equation Solver Free | UsefulVerse</x:v>
      </x:c>
      <x:c r="C606" s="18" t="str">
        <x:v>tools.usefulverse.com</x:v>
      </x:c>
      <x:c r="D606" s="18" t="str">
        <x:v>https://tools.usefulverse.com/tools/differential-equation-solver/</x:v>
      </x:c>
      <x:c r="E606" s="22" t="n">
        <x:v>36</x:v>
      </x:c>
      <x:c r="F606" s="18" t="str">
        <x:v>NO: recuperar</x:v>
      </x:c>
      <x:c r="G606" s="18" t="str">
        <x:v>Solve a first-order differential equation numerically with RK4. Set an initial value, view a graph and export sample points for free.</x:v>
      </x:c>
      <x:c r="H606" s="18" t="str">
        <x:v>Sitemap + metadatos de página pública</x:v>
      </x:c>
    </x:row>
    <x:row r="607" ht="48" customHeight="1">
      <x:c r="A607" s="18" t="str">
        <x:v>prime-factorization-calculator</x:v>
      </x:c>
      <x:c r="B607" s="18" t="str">
        <x:v>Prime Factorization Calculator Free | UsefulVerse</x:v>
      </x:c>
      <x:c r="C607" s="18" t="str">
        <x:v>tools.usefulverse.com</x:v>
      </x:c>
      <x:c r="D607" s="18" t="str">
        <x:v>https://tools.usefulverse.com/tools/prime-factorization-calculator/</x:v>
      </x:c>
      <x:c r="E607" s="22" t="n">
        <x:v>36</x:v>
      </x:c>
      <x:c r="F607" s="18" t="str">
        <x:v>NO: recuperar</x:v>
      </x:c>
      <x:c r="G607" s="18" t="str">
        <x:v>Factor positive integers into primes, show division steps and count divisors. Free, exact browser calculator with no sign-up.</x:v>
      </x:c>
      <x:c r="H607" s="18" t="str">
        <x:v>Sitemap + metadatos de página pública</x:v>
      </x:c>
    </x:row>
    <x:row r="608" ht="48" customHeight="1">
      <x:c r="A608" s="18" t="str">
        <x:v>rational-expression-calculator</x:v>
      </x:c>
      <x:c r="B608" s="18" t="str">
        <x:v>Rational Expression Calculator Free | UsefulVerse</x:v>
      </x:c>
      <x:c r="C608" s="18" t="str">
        <x:v>tools.usefulverse.com</x:v>
      </x:c>
      <x:c r="D608" s="18" t="str">
        <x:v>https://tools.usefulverse.com/tools/rational-expression-calculator/</x:v>
      </x:c>
      <x:c r="E608" s="22" t="n">
        <x:v>36</x:v>
      </x:c>
      <x:c r="F608" s="18" t="str">
        <x:v>NO: recuperar</x:v>
      </x:c>
      <x:c r="G608" s="18" t="str">
        <x:v>Simplify polynomial fractions, cancel common factors and keep excluded values visible. Free local calculator, no sign-up.</x:v>
      </x:c>
      <x:c r="H608" s="18" t="str">
        <x:v>Sitemap + metadatos de página pública</x:v>
      </x:c>
    </x:row>
    <x:row r="609" ht="48" customHeight="1">
      <x:c r="A609" s="18" t="str">
        <x:v>modulo-calculator</x:v>
      </x:c>
      <x:c r="B609" s="18" t="str">
        <x:v>Modulo Calculator Free | UsefulVerse</x:v>
      </x:c>
      <x:c r="C609" s="18" t="str">
        <x:v>tools.usefulverse.com</x:v>
      </x:c>
      <x:c r="D609" s="18" t="str">
        <x:v>https://tools.usefulverse.com/tools/modulo-calculator/</x:v>
      </x:c>
      <x:c r="E609" s="22" t="n">
        <x:v>36</x:v>
      </x:c>
      <x:c r="F609" s="18" t="str">
        <x:v>NO: recuperar</x:v>
      </x:c>
      <x:c r="G609" s="18" t="str">
        <x:v>Find an exact modulo and quotient, including negative numbers, or check congruence. Free, private browser calculator with no sign-up.</x:v>
      </x:c>
      <x:c r="H609" s="18" t="str">
        <x:v>Sitemap + metadatos de página pública</x:v>
      </x:c>
    </x:row>
    <x:row r="610" ht="48" customHeight="1">
      <x:c r="A610" s="18" t="str">
        <x:v>stem-and-leaf-plot-generator</x:v>
      </x:c>
      <x:c r="B610" s="18" t="str">
        <x:v>Stem and Leaf Plot Generator Free | UsefulVerse</x:v>
      </x:c>
      <x:c r="C610" s="18" t="str">
        <x:v>tools.usefulverse.com</x:v>
      </x:c>
      <x:c r="D610" s="18" t="str">
        <x:v>https://tools.usefulverse.com/tools/stem-and-leaf-plot-generator/</x:v>
      </x:c>
      <x:c r="E610" s="22" t="n">
        <x:v>36</x:v>
      </x:c>
      <x:c r="F610" s="18" t="str">
        <x:v>NO: recuperar</x:v>
      </x:c>
      <x:c r="G610" s="18" t="str">
        <x:v>Make a stem-and-leaf plot from data. Keep duplicate values, split stems into 1, 2 or 5 rows, and copy the result for free.</x:v>
      </x:c>
      <x:c r="H610" s="18" t="str">
        <x:v>Sitemap + metadatos de página pública</x:v>
      </x:c>
    </x:row>
    <x:row r="611" ht="48" customHeight="1">
      <x:c r="A611" s="18" t="str">
        <x:v>box-plot-calculator</x:v>
      </x:c>
      <x:c r="B611" s="18" t="str">
        <x:v>Box Plot Calculator Free | UsefulVerse</x:v>
      </x:c>
      <x:c r="C611" s="18" t="str">
        <x:v>tools.usefulverse.com</x:v>
      </x:c>
      <x:c r="D611" s="18" t="str">
        <x:v>https://tools.usefulverse.com/tools/box-plot-calculator/</x:v>
      </x:c>
      <x:c r="E611" s="22" t="n">
        <x:v>36</x:v>
      </x:c>
      <x:c r="F611" s="18" t="str">
        <x:v>NO: recuperar</x:v>
      </x:c>
      <x:c r="G611" s="18" t="str">
        <x:v>Make box-and-whisker plots for one or two data sets. Compare quartiles, IQR, fences and outliers for free.</x:v>
      </x:c>
      <x:c r="H611" s="18" t="str">
        <x:v>Sitemap + metadatos de página pública</x:v>
      </x:c>
    </x:row>
    <x:row r="612" ht="48" customHeight="1">
      <x:c r="A612" s="18" t="str">
        <x:v>sleep-debt-calculator</x:v>
      </x:c>
      <x:c r="B612" s="18" t="str">
        <x:v>Sleep Debt Calculator Free | UsefulVerse</x:v>
      </x:c>
      <x:c r="C612" s="18" t="str">
        <x:v>tools.usefulverse.com</x:v>
      </x:c>
      <x:c r="D612" s="18" t="str">
        <x:v>https://tools.usefulverse.com/tools/sleep-debt-calculator/</x:v>
      </x:c>
      <x:c r="E612" s="22" t="n">
        <x:v>36</x:v>
      </x:c>
      <x:c r="F612" s="18" t="str">
        <x:v>NO: recuperar</x:v>
      </x:c>
      <x:c r="G612" s="18" t="str">
        <x:v>Estimate sleep shortfalls for 1–14 nights against your own reference, compare nightly hours and optionally save your log on this device.</x:v>
      </x:c>
      <x:c r="H612" s="18" t="str">
        <x:v>Sitemap + metadatos de página pública</x:v>
      </x:c>
    </x:row>
    <x:row r="613" ht="48" customHeight="1">
      <x:c r="A613" s="18" t="str">
        <x:v>push-up-test</x:v>
      </x:c>
      <x:c r="B613" s="18" t="str">
        <x:v>Push-Up Test &amp; Set Tracker Free | UsefulVerse</x:v>
      </x:c>
      <x:c r="C613" s="18" t="str">
        <x:v>tools.usefulverse.com</x:v>
      </x:c>
      <x:c r="D613" s="18" t="str">
        <x:v>https://tools.usefulverse.com/tools/push-up-test/</x:v>
      </x:c>
      <x:c r="E613" s="22" t="n">
        <x:v>36</x:v>
      </x:c>
      <x:c r="F613" s="18" t="str">
        <x:v>NO: recuperar</x:v>
      </x:c>
      <x:c r="G613" s="18" t="str">
        <x:v>Log manually counted push-up sets, rest and progress. Free, private and optional local history; no camera needed.</x:v>
      </x:c>
      <x:c r="H613" s="18" t="str">
        <x:v>Sitemap + metadatos de página pública</x:v>
      </x:c>
    </x:row>
    <x:row r="614" ht="48" customHeight="1">
      <x:c r="A614" s="18" t="str">
        <x:v>sobriety-counter</x:v>
      </x:c>
      <x:c r="B614" s="18" t="str">
        <x:v>Sobriety Day Counter Free | UsefulVerse</x:v>
      </x:c>
      <x:c r="C614" s="18" t="str">
        <x:v>tools.usefulverse.com</x:v>
      </x:c>
      <x:c r="D614" s="18" t="str">
        <x:v>https://tools.usefulverse.com/tools/sobriety-counter/</x:v>
      </x:c>
      <x:c r="E614" s="22" t="n">
        <x:v>36</x:v>
      </x:c>
      <x:c r="F614" s="18" t="str">
        <x:v>NO: recuperar</x:v>
      </x:c>
      <x:c r="G614" s="18" t="str">
        <x:v>Count calendar days from a date you choose, see personal milestones, and optionally keep a private note on this device.</x:v>
      </x:c>
      <x:c r="H614" s="18" t="str">
        <x:v>Sitemap + metadatos de página pública</x:v>
      </x:c>
    </x:row>
    <x:row r="615" ht="48" customHeight="1">
      <x:c r="A615" s="18" t="str">
        <x:v>bac-calculator</x:v>
      </x:c>
      <x:c r="B615" s="18" t="str">
        <x:v>BAC Calculator Free | UsefulVerse</x:v>
      </x:c>
      <x:c r="C615" s="18" t="str">
        <x:v>tools.usefulverse.com</x:v>
      </x:c>
      <x:c r="D615" s="18" t="str">
        <x:v>https://tools.usefulverse.com/tools/bac-calculator/</x:v>
      </x:c>
      <x:c r="E615" s="22" t="n">
        <x:v>36</x:v>
      </x:c>
      <x:c r="F615" s="18" t="str">
        <x:v>NO: recuperar</x:v>
      </x:c>
      <x:c r="G615" s="18" t="str">
        <x:v>Explore a local, educational Widmark-style BAC scenario with a broad uncertainty range. Never use it to decide whether it is safe or legal to drive.</x:v>
      </x:c>
      <x:c r="H615" s="18" t="str">
        <x:v>Sitemap + metadatos de página pública</x:v>
      </x:c>
    </x:row>
    <x:row r="616" ht="48" customHeight="1">
      <x:c r="A616" s="18" t="str">
        <x:v>hiking-time-calculator</x:v>
      </x:c>
      <x:c r="B616" s="18" t="str">
        <x:v>Hiking Time Calculator Free | UsefulVerse</x:v>
      </x:c>
      <x:c r="C616" s="18" t="str">
        <x:v>tools.usefulverse.com</x:v>
      </x:c>
      <x:c r="D616" s="18" t="str">
        <x:v>https://tools.usefulverse.com/tools/hiking-time-calculator/</x:v>
      </x:c>
      <x:c r="E616" s="22" t="n">
        <x:v>36</x:v>
      </x:c>
      <x:c r="F616" s="18" t="str">
        <x:v>NO: recuperar</x:v>
      </x:c>
      <x:c r="G616" s="18" t="str">
        <x:v>Estimate hiking hours from total route distance, uphill gain, a Naismith baseline or your own pace, and planned breaks.</x:v>
      </x:c>
      <x:c r="H616" s="18" t="str">
        <x:v>Sitemap + metadatos de página pública</x:v>
      </x:c>
    </x:row>
    <x:row r="617" ht="48" customHeight="1">
      <x:c r="A617" s="18" t="str">
        <x:v>pdf-flattener</x:v>
      </x:c>
      <x:c r="B617" s="18" t="str">
        <x:v>PDF Form Flattener Free | Keep Page Text | UsefulVerse</x:v>
      </x:c>
      <x:c r="C617" s="18" t="str">
        <x:v>tools.usefulverse.com</x:v>
      </x:c>
      <x:c r="D617" s="18" t="str">
        <x:v>https://tools.usefulverse.com/tools/pdf-flattener/</x:v>
      </x:c>
      <x:c r="E617" s="22" t="n">
        <x:v>36</x:v>
      </x:c>
      <x:c r="F617" s="18" t="str">
        <x:v>NO: recuperar</x:v>
      </x:c>
      <x:c r="G617" s="18" t="str">
        <x:v>Flatten supported PDF form fields into a new local copy. Page text remains searchable; form fields become non-interactive.</x:v>
      </x:c>
      <x:c r="H617" s="18" t="str">
        <x:v>Sitemap + metadatos de página pública</x:v>
      </x:c>
    </x:row>
    <x:row r="618" ht="48" customHeight="1">
      <x:c r="A618" s="18" t="str">
        <x:v>pdf-metadata-editor</x:v>
      </x:c>
      <x:c r="B618" s="18" t="str">
        <x:v>PDF Metadata Editor Free | UsefulVerse</x:v>
      </x:c>
      <x:c r="C618" s="18" t="str">
        <x:v>tools.usefulverse.com</x:v>
      </x:c>
      <x:c r="D618" s="18" t="str">
        <x:v>https://tools.usefulverse.com/tools/pdf-metadata-editor/</x:v>
      </x:c>
      <x:c r="E618" s="22" t="n">
        <x:v>36</x:v>
      </x:c>
      <x:c r="F618" s="18" t="str">
        <x:v>NO: recuperar</x:v>
      </x:c>
      <x:c r="G618" s="18" t="str">
        <x:v>Edit standard PDF title, author, subject and dates free in your browser. No upload; keep the original PDF unchanged.</x:v>
      </x:c>
      <x:c r="H618" s="18" t="str">
        <x:v>Sitemap + metadatos de página pública</x:v>
      </x:c>
    </x:row>
    <x:row r="619" ht="48" customHeight="1">
      <x:c r="A619" s="18" t="str">
        <x:v>pdf-bookmarks-editor</x:v>
      </x:c>
      <x:c r="B619" s="18" t="str">
        <x:v>Add Bookmarks to PDF Free | UsefulVerse</x:v>
      </x:c>
      <x:c r="C619" s="18" t="str">
        <x:v>tools.usefulverse.com</x:v>
      </x:c>
      <x:c r="D619" s="18" t="str">
        <x:v>https://tools.usefulverse.com/tools/pdf-bookmarks-editor/</x:v>
      </x:c>
      <x:c r="E619" s="22" t="n">
        <x:v>36</x:v>
      </x:c>
      <x:c r="F619" s="18" t="str">
        <x:v>NO: recuperar</x:v>
      </x:c>
      <x:c r="G619" s="18" t="str">
        <x:v>Add, organize and edit PDF bookmarks locally. Set page destinations, arrange sections and export a separate PDF without uploading it.</x:v>
      </x:c>
      <x:c r="H619" s="18" t="str">
        <x:v>Sitemap + metadatos de página pública</x:v>
      </x:c>
    </x:row>
    <x:row r="620" ht="48" customHeight="1">
      <x:c r="A620" s="18" t="str">
        <x:v>pdf-page-size-converter</x:v>
      </x:c>
      <x:c r="B620" s="18" t="str">
        <x:v>Resize PDF to A4, Letter or Custom Size Free | UsefulVerse</x:v>
      </x:c>
      <x:c r="C620" s="18" t="str">
        <x:v>tools.usefulverse.com</x:v>
      </x:c>
      <x:c r="D620" s="18" t="str">
        <x:v>https://tools.usefulverse.com/tools/pdf-page-size-converter/</x:v>
      </x:c>
      <x:c r="E620" s="22" t="n">
        <x:v>36</x:v>
      </x:c>
      <x:c r="F620" s="18" t="str">
        <x:v>NO: recuperar</x:v>
      </x:c>
      <x:c r="G620" s="18" t="str">
        <x:v>Change PDF page size to A4, Letter, Legal or custom dimensions. Fit and center pages locally without intentional cropping.</x:v>
      </x:c>
      <x:c r="H620" s="18" t="str">
        <x:v>Sitemap + metadatos de página pública</x:v>
      </x:c>
    </x:row>
    <x:row r="621" ht="48" customHeight="1">
      <x:c r="A621" s="18" t="str">
        <x:v>ics-viewer</x:v>
      </x:c>
      <x:c r="B621" s="18" t="str">
        <x:v>ICS Viewer: Open Calendar Files Free | UsefulVerse</x:v>
      </x:c>
      <x:c r="C621" s="18" t="str">
        <x:v>tools.usefulverse.com</x:v>
      </x:c>
      <x:c r="D621" s="18" t="str">
        <x:v>https://tools.usefulverse.com/tools/ics-viewer/</x:v>
      </x:c>
      <x:c r="E621" s="22" t="n">
        <x:v>36</x:v>
      </x:c>
      <x:c r="F621" s="18" t="str">
        <x:v>NO: recuperar</x:v>
      </x:c>
      <x:c r="G621" s="18" t="str">
        <x:v>Open and filter .ics calendar files in your browser. View recurring events and EXDATE exceptions locally, then export a CSV list.</x:v>
      </x:c>
      <x:c r="H621" s="18" t="str">
        <x:v>Sitemap + metadatos de página pública</x:v>
      </x:c>
    </x:row>
    <x:row r="622" ht="48" customHeight="1">
      <x:c r="A622" s="18" t="str">
        <x:v>wilks-calculator</x:v>
      </x:c>
      <x:c r="B622" s="18" t="str">
        <x:v>Wilks &amp; DOTS Powerlifting Calculator Free | UsefulVerse</x:v>
      </x:c>
      <x:c r="C622" s="18" t="str">
        <x:v>tools.usefulverse.com</x:v>
      </x:c>
      <x:c r="D622" s="18" t="str">
        <x:v>https://tools.usefulverse.com/tools/wilks-calculator/</x:v>
      </x:c>
      <x:c r="E622" s="22" t="n">
        <x:v>36</x:v>
      </x:c>
      <x:c r="F622" s="18" t="str">
        <x:v>NO: recuperar</x:v>
      </x:c>
      <x:c r="G622" s="18" t="str">
        <x:v>Compare Wilks, Wilks-2 and DOTS powerlifting scores from bodyweight and a lift total. Free, private, and calculated in your browser.</x:v>
      </x:c>
      <x:c r="H622" s="18" t="str">
        <x:v>Sitemap + metadatos de página pública</x:v>
      </x:c>
    </x:row>
    <x:row r="623" ht="48" customHeight="1">
      <x:c r="A623" s="18" t="str">
        <x:v>circle-calculator</x:v>
      </x:c>
      <x:c r="B623" s="18" t="str">
        <x:v>Circle Calculator Free | UsefulVerse</x:v>
      </x:c>
      <x:c r="C623" s="18" t="str">
        <x:v>tools.usefulverse.com</x:v>
      </x:c>
      <x:c r="D623" s="18" t="str">
        <x:v>https://tools.usefulverse.com/tools/circle-calculator/</x:v>
      </x:c>
      <x:c r="E623" s="22" t="n">
        <x:v>36</x:v>
      </x:c>
      <x:c r="F623" s="18" t="str">
        <x:v>NO: recuperar</x:v>
      </x:c>
      <x:c r="G623" s="18" t="str">
        <x:v>Find circle area, circumference, diameter, arcs, sectors and segments. Free online calculator with clear formulas and examples.</x:v>
      </x:c>
      <x:c r="H623" s="18" t="str">
        <x:v>Sitemap + metadatos de página pública</x:v>
      </x:c>
    </x:row>
    <x:row r="624" ht="48" customHeight="1">
      <x:c r="A624" s="18" t="str">
        <x:v>family-tree-maker</x:v>
      </x:c>
      <x:c r="B624" s="18" t="str">
        <x:v>Family Tree Maker Free: Build &amp; Export | UsefulVerse</x:v>
      </x:c>
      <x:c r="C624" s="18" t="str">
        <x:v>tools.usefulverse.com</x:v>
      </x:c>
      <x:c r="D624" s="18" t="str">
        <x:v>https://tools.usefulverse.com/tools/family-tree-maker/</x:v>
      </x:c>
      <x:c r="E624" s="22" t="n">
        <x:v>36</x:v>
      </x:c>
      <x:c r="F624" s="18" t="str">
        <x:v>NO: recuperar</x:v>
      </x:c>
      <x:c r="G624" s="18" t="str">
        <x:v>Build a private family tree, check parent links, and export SVG or GEDCOM. Free, local and no account or genealogy lookup.</x:v>
      </x:c>
      <x:c r="H624" s="18" t="str">
        <x:v>Sitemap + metadatos de página pública</x:v>
      </x:c>
    </x:row>
    <x:row r="625" ht="48" customHeight="1">
      <x:c r="A625" s="18" t="str">
        <x:v>stock-profit-calculator</x:v>
      </x:c>
      <x:c r="B625" s="18" t="str">
        <x:v>Stock Profit Calculator Free &amp; Unlimited | UsefulVerse</x:v>
      </x:c>
      <x:c r="C625" s="18" t="str">
        <x:v>tools.usefulverse.com</x:v>
      </x:c>
      <x:c r="D625" s="18" t="str">
        <x:v>https://tools.usefulverse.com/tools/stock-profit-calculator/</x:v>
      </x:c>
      <x:c r="E625" s="22" t="n">
        <x:v>36</x:v>
      </x:c>
      <x:c r="F625" s="18" t="str">
        <x:v>NO: recuperar</x:v>
      </x:c>
      <x:c r="G625" s="18" t="str">
        <x:v>Estimate stock sale profit after fees with FIFO or average cost, multiple buy lots and break-even price. Free, unlimited and private in your browser.</x:v>
      </x:c>
      <x:c r="H625" s="18" t="str">
        <x:v>Sitemap + metadatos de página pública</x:v>
      </x:c>
    </x:row>
    <x:row r="626" ht="48" customHeight="1">
      <x:c r="A626" s="18" t="str">
        <x:v>pension-calculator</x:v>
      </x:c>
      <x:c r="B626" s="18" t="str">
        <x:v>Pension Calculator Free &amp; Unlimited | UsefulVerse</x:v>
      </x:c>
      <x:c r="C626" s="18" t="str">
        <x:v>tools.usefulverse.com</x:v>
      </x:c>
      <x:c r="D626" s="18" t="str">
        <x:v>https://tools.usefulverse.com/tools/pension-calculator/</x:v>
      </x:c>
      <x:c r="E626" s="22" t="n">
        <x:v>36</x:v>
      </x:c>
      <x:c r="F626" s="18" t="str">
        <x:v>NO: recuperar</x:v>
      </x:c>
      <x:c r="G626" s="18" t="str">
        <x:v>Estimate a defined-benefit pension and optional lump-sum conversion. Free, unlimited and private in your browser.</x:v>
      </x:c>
      <x:c r="H626" s="18" t="str">
        <x:v>Sitemap + metadatos de página pública</x:v>
      </x:c>
    </x:row>
    <x:row r="627" ht="48" customHeight="1">
      <x:c r="A627" s="18" t="str">
        <x:v>lifetime-value-calculator</x:v>
      </x:c>
      <x:c r="B627" s="18" t="str">
        <x:v>Customer Lifetime Value Calculator Free | UsefulVerse</x:v>
      </x:c>
      <x:c r="C627" s="18" t="str">
        <x:v>tools.usefulverse.com</x:v>
      </x:c>
      <x:c r="D627" s="18" t="str">
        <x:v>https://tools.usefulverse.com/tools/lifetime-value-calculator/</x:v>
      </x:c>
      <x:c r="E627" s="22" t="n">
        <x:v>36</x:v>
      </x:c>
      <x:c r="F627" s="18" t="str">
        <x:v>NO: recuperar</x:v>
      </x:c>
      <x:c r="G627" s="18" t="str">
        <x:v>Estimate customer lifetime value from monthly revenue, gross margin and churn. Add CAC for payback and LTV:CAC. Free and private in your browser.</x:v>
      </x:c>
      <x:c r="H627" s="18" t="str">
        <x:v>Sitemap + metadatos de página pública</x:v>
      </x:c>
    </x:row>
    <x:row r="628" ht="48" customHeight="1">
      <x:c r="A628" s="18" t="str">
        <x:v>polar-graphing-calculator</x:v>
      </x:c>
      <x:c r="B628" s="18" t="str">
        <x:v>Polar Graphing Calculator Free | UsefulVerse</x:v>
      </x:c>
      <x:c r="C628" s="18" t="str">
        <x:v>tools.usefulverse.com</x:v>
      </x:c>
      <x:c r="D628" s="18" t="str">
        <x:v>https://tools.usefulverse.com/tools/polar-graphing-calculator/</x:v>
      </x:c>
      <x:c r="E628" s="22" t="n">
        <x:v>36</x:v>
      </x:c>
      <x:c r="F628" s="18" t="str">
        <x:v>NO: recuperar</x:v>
      </x:c>
      <x:c r="G628" s="18" t="str">
        <x:v>Plot polar equations r(θ) in radians or degrees. View the curve and export sampled coordinates to CSV. Free, private and local in your browser.</x:v>
      </x:c>
      <x:c r="H628" s="18" t="str">
        <x:v>Sitemap + metadatos de página pública</x:v>
      </x:c>
    </x:row>
    <x:row r="629" ht="48" customHeight="1">
      <x:c r="A629" s="18" t="str">
        <x:v>boolean-algebra-calculator</x:v>
      </x:c>
      <x:c r="B629" s="18" t="str">
        <x:v>Boolean Algebra Calculator Free | UsefulVerse</x:v>
      </x:c>
      <x:c r="C629" s="18" t="str">
        <x:v>tools.usefulverse.com</x:v>
      </x:c>
      <x:c r="D629" s="18" t="str">
        <x:v>https://tools.usefulverse.com/tools/boolean-algebra-calculator/</x:v>
      </x:c>
      <x:c r="E629" s="22" t="n">
        <x:v>36</x:v>
      </x:c>
      <x:c r="F629" s="18" t="str">
        <x:v>NO: recuperar</x:v>
      </x:c>
      <x:c r="G629" s="18" t="str">
        <x:v>Simplify Boolean expressions into SOP and POS, verify a truth table, and view Karnaugh maps. Free, no sign-up, processed locally in your browser.</x:v>
      </x:c>
      <x:c r="H629" s="18" t="str">
        <x:v>Sitemap + metadatos de página pública</x:v>
      </x:c>
    </x:row>
    <x:row r="630" ht="48" customHeight="1">
      <x:c r="A630" s="18" t="str">
        <x:v>week-number-calculator</x:v>
      </x:c>
      <x:c r="B630" s="18" t="str">
        <x:v>Week Number Calculator Free | UsefulVerse</x:v>
      </x:c>
      <x:c r="C630" s="18" t="str">
        <x:v>tools.usefulverse.com</x:v>
      </x:c>
      <x:c r="D630" s="18" t="str">
        <x:v>https://tools.usefulverse.com/tools/week-number-calculator/</x:v>
      </x:c>
      <x:c r="E630" s="22" t="n">
        <x:v>36</x:v>
      </x:c>
      <x:c r="F630" s="18" t="str">
        <x:v>NO: recuperar</x:v>
      </x:c>
      <x:c r="G630" s="18" t="str">
        <x:v>Find the ISO week number and week-year for any date, or compare a custom week start. Free, private browser calculator.</x:v>
      </x:c>
      <x:c r="H630" s="18" t="str">
        <x:v>Sitemap + metadatos de página pública</x:v>
      </x:c>
    </x:row>
    <x:row r="631" ht="48" customHeight="1">
      <x:c r="A631" s="18" t="str">
        <x:v>statistical-power-calculator</x:v>
      </x:c>
      <x:c r="B631" s="18" t="str">
        <x:v>Statistical Power Calculator Free | UsefulVerse</x:v>
      </x:c>
      <x:c r="C631" s="18" t="str">
        <x:v>tools.usefulverse.com</x:v>
      </x:c>
      <x:c r="D631" s="18" t="str">
        <x:v>https://tools.usefulverse.com/tools/statistical-power-calculator/</x:v>
      </x:c>
      <x:c r="E631" s="22" t="n">
        <x:v>36</x:v>
      </x:c>
      <x:c r="F631" s="18" t="str">
        <x:v>NO: recuperar</x:v>
      </x:c>
      <x:c r="G631" s="18" t="str">
        <x:v>Estimate sample size or power for two balanced groups using Cohen’s d. Free, private, and calculated in your browser.</x:v>
      </x:c>
      <x:c r="H631" s="18" t="str">
        <x:v>Sitemap + metadatos de página pública</x:v>
      </x:c>
    </x:row>
    <x:row r="632" ht="48" customHeight="1">
      <x:c r="A632" s="18" t="str">
        <x:v>fisher-exact-test-calculator</x:v>
      </x:c>
      <x:c r="B632" s="18" t="str">
        <x:v>Fisher Exact Test Calculator Free | UsefulVerse</x:v>
      </x:c>
      <x:c r="C632" s="18" t="str">
        <x:v>tools.usefulverse.com</x:v>
      </x:c>
      <x:c r="D632" s="18" t="str">
        <x:v>https://tools.usefulverse.com/tools/fisher-exact-test-calculator/</x:v>
      </x:c>
      <x:c r="E632" s="22" t="n">
        <x:v>36</x:v>
      </x:c>
      <x:c r="F632" s="18" t="str">
        <x:v>NO: recuperar</x:v>
      </x:c>
      <x:c r="G632" s="18" t="str">
        <x:v>Calculate a two-sided or one-sided Fisher exact test for a 2×2 table. See margins, p-value and odds ratio for free in your browser.</x:v>
      </x:c>
      <x:c r="H632" s="18" t="str">
        <x:v>Sitemap + metadatos de página pública</x:v>
      </x:c>
    </x:row>
    <x:row r="633" ht="48" customHeight="1">
      <x:c r="A633" s="18" t="str">
        <x:v>taylor-series-calculator</x:v>
      </x:c>
      <x:c r="B633" s="18" t="str">
        <x:v>Taylor Series Calculator Free | UsefulVerse</x:v>
      </x:c>
      <x:c r="C633" s="18" t="str">
        <x:v>tools.usefulverse.com</x:v>
      </x:c>
      <x:c r="D633" s="18" t="str">
        <x:v>https://tools.usefulverse.com/tools/taylor-series-calculator/</x:v>
      </x:c>
      <x:c r="E633" s="22" t="n">
        <x:v>36</x:v>
      </x:c>
      <x:c r="F633" s="18" t="str">
        <x:v>NO: recuperar</x:v>
      </x:c>
      <x:c r="G633" s="18" t="str">
        <x:v>Build a Taylor or Maclaurin polynomial, choose its center and order, and compare its value with the function. Free and local.</x:v>
      </x:c>
      <x:c r="H633" s="18" t="str">
        <x:v>Sitemap + metadatos de página pública</x:v>
      </x:c>
    </x:row>
    <x:row r="634" ht="48" customHeight="1">
      <x:c r="A634" s="18" t="str">
        <x:v>effect-size-calculator</x:v>
      </x:c>
      <x:c r="B634" s="18" t="str">
        <x:v>Effect Size Calculator Free | UsefulVerse</x:v>
      </x:c>
      <x:c r="C634" s="18" t="str">
        <x:v>tools.usefulverse.com</x:v>
      </x:c>
      <x:c r="D634" s="18" t="str">
        <x:v>https://tools.usefulverse.com/tools/effect-size-calculator/</x:v>
      </x:c>
      <x:c r="E634" s="22" t="n">
        <x:v>36</x:v>
      </x:c>
      <x:c r="F634" s="18" t="str">
        <x:v>NO: recuperar</x:v>
      </x:c>
      <x:c r="G634" s="18" t="str">
        <x:v>Calculate Cohen’s d and Hedges’ g from two independent groups’ means, standard deviations and sample sizes. Free and local.</x:v>
      </x:c>
      <x:c r="H634" s="18" t="str">
        <x:v>Sitemap + metadatos de página pública</x:v>
      </x:c>
    </x:row>
    <x:row r="635" ht="48" customHeight="1">
      <x:c r="A635" s="18" t="str">
        <x:v>ellipse-calculator</x:v>
      </x:c>
      <x:c r="B635" s="18" t="str">
        <x:v>Ellipse Calculator Free | UsefulVerse</x:v>
      </x:c>
      <x:c r="C635" s="18" t="str">
        <x:v>tools.usefulverse.com</x:v>
      </x:c>
      <x:c r="D635" s="18" t="str">
        <x:v>https://tools.usefulverse.com/tools/ellipse-calculator/</x:v>
      </x:c>
      <x:c r="E635" s="22" t="n">
        <x:v>36</x:v>
      </x:c>
      <x:c r="F635" s="18" t="str">
        <x:v>NO: recuperar</x:v>
      </x:c>
      <x:c r="G635" s="18" t="str">
        <x:v>Calculate ellipse area, foci, eccentricity and Ramanujan perimeter approximation from two semiaxes. Free and local.</x:v>
      </x:c>
      <x:c r="H635" s="18" t="str">
        <x:v>Sitemap + metadatos de página pública</x:v>
      </x:c>
    </x:row>
    <x:row r="636" ht="48" customHeight="1">
      <x:c r="A636" s="18" t="str">
        <x:v>mann-whitney-u-test-calculator</x:v>
      </x:c>
      <x:c r="B636" s="18" t="str">
        <x:v>Mann–Whitney U Test Calculator Free | UsefulVerse</x:v>
      </x:c>
      <x:c r="C636" s="18" t="str">
        <x:v>tools.usefulverse.com</x:v>
      </x:c>
      <x:c r="D636" s="18" t="str">
        <x:v>https://tools.usefulverse.com/tools/mann-whitney-u-test-calculator/</x:v>
      </x:c>
      <x:c r="E636" s="22" t="n">
        <x:v>36</x:v>
      </x:c>
      <x:c r="F636" s="18" t="str">
        <x:v>NO: recuperar</x:v>
      </x:c>
      <x:c r="G636" s="18" t="str">
        <x:v>Run a two-sided Mann–Whitney U test on independent samples. See U, p-value, ties and rank-biserial effect. Free and local.</x:v>
      </x:c>
      <x:c r="H636" s="18" t="str">
        <x:v>Sitemap + metadatos de página pública</x:v>
      </x:c>
    </x:row>
    <x:row r="637" ht="48" customHeight="1">
      <x:c r="A637" s="18" t="str">
        <x:v>linear-programming-calculator</x:v>
      </x:c>
      <x:c r="B637" s="18" t="str">
        <x:v>Linear Programming Calculator Free | UsefulVerse</x:v>
      </x:c>
      <x:c r="C637" s="18" t="str">
        <x:v>tools.usefulverse.com</x:v>
      </x:c>
      <x:c r="D637" s="18" t="str">
        <x:v>https://tools.usefulverse.com/tools/linear-programming-calculator/</x:v>
      </x:c>
      <x:c r="E637" s="22" t="n">
        <x:v>36</x:v>
      </x:c>
      <x:c r="F637" s="18" t="str">
        <x:v>NO: recuperar</x:v>
      </x:c>
      <x:c r="G637" s="18" t="str">
        <x:v>Solve 2-variable linear programs with the simplex method. Find max or min, feasible status and pivot steps. Free, local and no sign-up.</x:v>
      </x:c>
      <x:c r="H637" s="18" t="str">
        <x:v>Sitemap + metadatos de página pública</x:v>
      </x:c>
    </x:row>
    <x:row r="638" ht="48" customHeight="1">
      <x:c r="A638" s="18" t="str">
        <x:v>xml-to-csv-converter</x:v>
      </x:c>
      <x:c r="B638" s="18" t="str">
        <x:v>XML to CSV Converter Free | UsefulVerse</x:v>
      </x:c>
      <x:c r="C638" s="18" t="str">
        <x:v>tools.usefulverse.com</x:v>
      </x:c>
      <x:c r="D638" s="18" t="str">
        <x:v>https://tools.usefulverse.com/tools/xml-to-csv-converter/</x:v>
      </x:c>
      <x:c r="E638" s="22" t="n">
        <x:v>36</x:v>
      </x:c>
      <x:c r="F638" s="18" t="str">
        <x:v>NO: recuperar</x:v>
      </x:c>
      <x:c r="G638" s="18" t="str">
        <x:v>Convert simple XML records to CSV or CSV rows to XML in your browser. Free, local, no upload and no account.</x:v>
      </x:c>
      <x:c r="H638" s="18" t="str">
        <x:v>Sitemap + metadatos de página pública</x:v>
      </x:c>
    </x:row>
    <x:row r="639" ht="48" customHeight="1">
      <x:c r="A639" s="18" t="str">
        <x:v>csv-merge</x:v>
      </x:c>
      <x:c r="B639" s="18" t="str">
        <x:v>CSV Merge Free | UsefulVerse</x:v>
      </x:c>
      <x:c r="C639" s="18" t="str">
        <x:v>tools.usefulverse.com</x:v>
      </x:c>
      <x:c r="D639" s="18" t="str">
        <x:v>https://tools.usefulverse.com/tools/csv-merge/</x:v>
      </x:c>
      <x:c r="E639" s="22" t="n">
        <x:v>36</x:v>
      </x:c>
      <x:c r="F639" s="18" t="str">
        <x:v>NO: recuperar</x:v>
      </x:c>
      <x:c r="G639" s="18" t="str">
        <x:v>Merge CSV files by column name, even when column order differs. Free in your browser, with no upload or account.</x:v>
      </x:c>
      <x:c r="H639" s="18" t="str">
        <x:v>Sitemap + metadatos de página pública</x:v>
      </x:c>
    </x:row>
    <x:row r="640" ht="48" customHeight="1">
      <x:c r="A640" s="18" t="str">
        <x:v>sitemap-validator</x:v>
      </x:c>
      <x:c r="B640" s="18" t="str">
        <x:v>Sitemap Validator Free | UsefulVerse</x:v>
      </x:c>
      <x:c r="C640" s="18" t="str">
        <x:v>tools.usefulverse.com</x:v>
      </x:c>
      <x:c r="D640" s="18" t="str">
        <x:v>https://tools.usefulverse.com/tools/sitemap-validator/</x:v>
      </x:c>
      <x:c r="E640" s="22" t="n">
        <x:v>36</x:v>
      </x:c>
      <x:c r="F640" s="18" t="str">
        <x:v>NO: recuperar</x:v>
      </x:c>
      <x:c r="G640" s="18" t="str">
        <x:v>Check sitemap XML for duplicate URLs, invalid dates, namespaces and common field errors. Free local validation; no crawling.</x:v>
      </x:c>
      <x:c r="H640" s="18" t="str">
        <x:v>Sitemap + metadatos de página pública</x:v>
      </x:c>
    </x:row>
    <x:row r="641" ht="48" customHeight="1">
      <x:c r="A641" s="18" t="str">
        <x:v>bcrypt-generator</x:v>
      </x:c>
      <x:c r="B641" s="18" t="str">
        <x:v>Bcrypt Generator Free | UsefulVerse</x:v>
      </x:c>
      <x:c r="C641" s="18" t="str">
        <x:v>tools.usefulverse.com</x:v>
      </x:c>
      <x:c r="D641" s="18" t="str">
        <x:v>https://tools.usefulverse.com/tools/bcrypt-generator/</x:v>
      </x:c>
      <x:c r="E641" s="22" t="n">
        <x:v>36</x:v>
      </x:c>
      <x:c r="F641" s="18" t="str">
        <x:v>NO: recuperar</x:v>
      </x:c>
      <x:c r="G641" s="18" t="str">
        <x:v>Create and verify bcrypt password hashes locally with a fresh random salt and adjustable cost. Free browser tool; no upload or account.</x:v>
      </x:c>
      <x:c r="H641" s="18" t="str">
        <x:v>Sitemap + metadatos de página pública</x:v>
      </x:c>
    </x:row>
    <x:row r="642" ht="48" customHeight="1">
      <x:c r="A642" s="18" t="str">
        <x:v>retirement-calculator</x:v>
      </x:c>
      <x:c r="B642" s="18" t="str">
        <x:v>Retirement Calculator Free | UsefulVerse</x:v>
      </x:c>
      <x:c r="C642" s="18" t="str">
        <x:v>tools.usefulverse.com</x:v>
      </x:c>
      <x:c r="D642" s="18" t="str">
        <x:v>https://tools.usefulverse.com/tools/retirement-calculator/</x:v>
      </x:c>
      <x:c r="E642" s="22" t="n">
        <x:v>36</x:v>
      </x:c>
      <x:c r="F642" s="18" t="str">
        <x:v>NO: recuperar</x:v>
      </x:c>
      <x:c r="G642" s="18" t="str">
        <x:v>Project retirement savings and withdrawals with base and conservative return assumptions. See inflation-adjusted value. Free, local, no account.</x:v>
      </x:c>
      <x:c r="H642" s="18" t="str">
        <x:v>Sitemap + metadatos de página pública</x:v>
      </x:c>
    </x:row>
    <x:row r="643" ht="48" customHeight="1">
      <x:c r="A643" s="18" t="str">
        <x:v>required-minimum-distribution-calculator</x:v>
      </x:c>
      <x:c r="B643" s="18" t="str">
        <x:v>RMD Calculator 2026 Free | UsefulVerse</x:v>
      </x:c>
      <x:c r="C643" s="18" t="str">
        <x:v>tools.usefulverse.com</x:v>
      </x:c>
      <x:c r="D643" s="18" t="str">
        <x:v>https://tools.usefulverse.com/tools/required-minimum-distribution-calculator/</x:v>
      </x:c>
      <x:c r="E643" s="22" t="n">
        <x:v>36</x:v>
      </x:c>
      <x:c r="F643" s="18" t="str">
        <x:v>NO: recuperar</x:v>
      </x:c>
      <x:c r="G643" s="18" t="str">
        <x:v>Estimate a 2026 RMD with the IRS Uniform Lifetime Table. Free, no account, and calculated in your browser.</x:v>
      </x:c>
      <x:c r="H643" s="18" t="str">
        <x:v>Sitemap + metadatos de página pública</x:v>
      </x:c>
    </x:row>
    <x:row r="644" ht="48" customHeight="1">
      <x:c r="A644" s="18" t="str">
        <x:v>protein-calculator</x:v>
      </x:c>
      <x:c r="B644" s="18" t="str">
        <x:v>Protein Calculator Free | UsefulVerse</x:v>
      </x:c>
      <x:c r="C644" s="18" t="str">
        <x:v>tools.usefulverse.com</x:v>
      </x:c>
      <x:c r="D644" s="18" t="str">
        <x:v>https://tools.usefulverse.com/tools/protein-calculator/</x:v>
      </x:c>
      <x:c r="E644" s="22" t="n">
        <x:v>36</x:v>
      </x:c>
      <x:c r="F644" s="18" t="str">
        <x:v>NO: recuperar</x:v>
      </x:c>
      <x:c r="G644" s="18" t="str">
        <x:v>Estimate a daily protein amount from body weight and your chosen factor. Free calculator, no account, computed in your browser.</x:v>
      </x:c>
      <x:c r="H644" s="18" t="str">
        <x:v>Sitemap + metadatos de página pública</x:v>
      </x:c>
    </x:row>
    <x:row r="645" ht="48" customHeight="1">
      <x:c r="A645" s="18" t="str">
        <x:v>mortgage-affordability-calculator</x:v>
      </x:c>
      <x:c r="B645" s="18" t="str">
        <x:v>Mortgage Affordability Calculator Free | UsefulVerse</x:v>
      </x:c>
      <x:c r="C645" s="18" t="str">
        <x:v>tools.usefulverse.com</x:v>
      </x:c>
      <x:c r="D645" s="18" t="str">
        <x:v>https://tools.usefulverse.com/tools/mortgage-affordability-calculator/</x:v>
      </x:c>
      <x:c r="E645" s="22" t="n">
        <x:v>36</x:v>
      </x:c>
      <x:c r="F645" s="18" t="str">
        <x:v>NO: recuperar</x:v>
      </x:c>
      <x:c r="G645" s="18" t="str">
        <x:v>Estimate a home-price range from income, debts, down payment, rate, taxes and insurance. Free, browser-based, with no account.</x:v>
      </x:c>
      <x:c r="H645" s="18" t="str">
        <x:v>Sitemap + metadatos de página pública</x:v>
      </x:c>
    </x:row>
    <x:row r="646" ht="48" customHeight="1">
      <x:c r="A646" s="18" t="str">
        <x:v>401k-calculator</x:v>
      </x:c>
      <x:c r="B646" s="18" t="str">
        <x:v>401(k) Calculator Free | UsefulVerse</x:v>
      </x:c>
      <x:c r="C646" s="18" t="str">
        <x:v>tools.usefulverse.com</x:v>
      </x:c>
      <x:c r="D646" s="18" t="str">
        <x:v>https://tools.usefulverse.com/tools/401k-calculator/</x:v>
      </x:c>
      <x:c r="E646" s="22" t="n">
        <x:v>36</x:v>
      </x:c>
      <x:c r="F646" s="18" t="str">
        <x:v>NO: recuperar</x:v>
      </x:c>
      <x:c r="G646" s="18" t="str">
        <x:v>Estimate 401(k) contributions, employer match, vesting and a savings scenario. Free, local, no account.</x:v>
      </x:c>
      <x:c r="H646" s="18" t="str">
        <x:v>Sitemap + metadatos de página pública</x:v>
      </x:c>
    </x:row>
    <x:row r="647" ht="48" customHeight="1">
      <x:c r="A647" s="18" t="str">
        <x:v>inflation-calculator</x:v>
      </x:c>
      <x:c r="B647" s="18" t="str">
        <x:v>Inflation Calculator Free | UsefulVerse</x:v>
      </x:c>
      <x:c r="C647" s="18" t="str">
        <x:v>tools.usefulverse.com</x:v>
      </x:c>
      <x:c r="D647" s="18" t="str">
        <x:v>https://tools.usefulverse.com/tools/inflation-calculator/</x:v>
      </x:c>
      <x:c r="E647" s="22" t="n">
        <x:v>36</x:v>
      </x:c>
      <x:c r="F647" s="18" t="str">
        <x:v>NO: recuperar</x:v>
      </x:c>
      <x:c r="G647" s="18" t="str">
        <x:v>Compare historical U.S. prices with CPI-U or model a custom inflation rate. See adjusted value and cumulative change. Free, local, no upload.</x:v>
      </x:c>
      <x:c r="H647" s="18" t="str">
        <x:v>Sitemap + metadatos de página pública</x:v>
      </x:c>
    </x:row>
    <x:row r="648" ht="48" customHeight="1">
      <x:c r="A648" s="18" t="str">
        <x:v>text-to-speech</x:v>
      </x:c>
      <x:c r="B648" s="18" t="str">
        <x:v>Text to Speech Free Online | UsefulVerse</x:v>
      </x:c>
      <x:c r="C648" s="18" t="str">
        <x:v>tools.usefulverse.com</x:v>
      </x:c>
      <x:c r="D648" s="18" t="str">
        <x:v>https://tools.usefulverse.com/tools/text-to-speech/</x:v>
      </x:c>
      <x:c r="E648" s="22" t="n">
        <x:v>36</x:v>
      </x:c>
      <x:c r="F648" s="18" t="str">
        <x:v>NO: recuperar</x:v>
      </x:c>
      <x:c r="G648" s="18" t="str">
        <x:v>Read text aloud with a voice on your device. Free, no account, no upload to this site. Voice availability depends on your browser.</x:v>
      </x:c>
      <x:c r="H648" s="18" t="str">
        <x:v>Sitemap + metadatos de página pública</x:v>
      </x:c>
    </x:row>
    <x:row r="649" ht="48" customHeight="1">
      <x:c r="A649" s="18" t="str">
        <x:v>world-clock</x:v>
      </x:c>
      <x:c r="B649" s="18" t="str">
        <x:v>World Clock Online Free | UsefulVerse</x:v>
      </x:c>
      <x:c r="C649" s="18" t="str">
        <x:v>tools.usefulverse.com</x:v>
      </x:c>
      <x:c r="D649" s="18" t="str">
        <x:v>https://tools.usefulverse.com/tools/world-clock/</x:v>
      </x:c>
      <x:c r="E649" s="22" t="n">
        <x:v>36</x:v>
      </x:c>
      <x:c r="F649" s="18" t="str">
        <x:v>NO: recuperar</x:v>
      </x:c>
      <x:c r="G649" s="18" t="str">
        <x:v>See live local times in cities around the world, compare UTC offsets and daylight saving changes. Free, no account.</x:v>
      </x:c>
      <x:c r="H649" s="18" t="str">
        <x:v>Sitemap + metadatos de página pública</x:v>
      </x:c>
    </x:row>
    <x:row r="650" ht="48" customHeight="1">
      <x:c r="A650" s="18" t="str">
        <x:v>euchre</x:v>
      </x:c>
      <x:c r="B650" s="18" t="str">
        <x:v>Euchre Card Game Online Free | UsefulVerse</x:v>
      </x:c>
      <x:c r="C650" s="18" t="str">
        <x:v>tools.usefulverse.com</x:v>
      </x:c>
      <x:c r="D650" s="18" t="str">
        <x:v>https://tools.usefulverse.com/tools/euchre/</x:v>
      </x:c>
      <x:c r="E650" s="22" t="n">
        <x:v>36</x:v>
      </x:c>
      <x:c r="F650" s="18" t="str">
        <x:v>NO: recuperar</x:v>
      </x:c>
      <x:c r="G650" s="18" t="str">
        <x:v>Play Euchre online against three local bots. Bid, choose trump, follow suit and track the score. Free, no account or upload.</x:v>
      </x:c>
      <x:c r="H650" s="18" t="str">
        <x:v>Sitemap + metadatos de página pública</x:v>
      </x:c>
    </x:row>
    <x:row r="651" ht="48" customHeight="1">
      <x:c r="A651" s="18" t="str">
        <x:v>spades-game</x:v>
      </x:c>
      <x:c r="B651" s="18" t="str">
        <x:v>Spades Card Game Online Free | UsefulVerse</x:v>
      </x:c>
      <x:c r="C651" s="18" t="str">
        <x:v>tools.usefulverse.com</x:v>
      </x:c>
      <x:c r="D651" s="18" t="str">
        <x:v>https://tools.usefulverse.com/tools/spades-game/</x:v>
      </x:c>
      <x:c r="E651" s="22" t="n">
        <x:v>36</x:v>
      </x:c>
      <x:c r="F651" s="18" t="str">
        <x:v>NO: recuperar</x:v>
      </x:c>
      <x:c r="G651" s="18" t="str">
        <x:v>Play Spades against three local bots. Bid nil or tricks, follow suit and track bags. Free, no account or online opponent.</x:v>
      </x:c>
      <x:c r="H651" s="18" t="str">
        <x:v>Sitemap + metadatos de página pública</x:v>
      </x:c>
    </x:row>
    <x:row r="652" ht="48" customHeight="1">
      <x:c r="A652" s="18" t="str">
        <x:v>name-generator</x:v>
      </x:c>
      <x:c r="B652" s="18" t="str">
        <x:v>Fantasy Name Generator Free | UsefulVerse</x:v>
      </x:c>
      <x:c r="C652" s="18" t="str">
        <x:v>tools.usefulverse.com</x:v>
      </x:c>
      <x:c r="D652" s="18" t="str">
        <x:v>https://tools.usefulverse.com/tools/name-generator/</x:v>
      </x:c>
      <x:c r="E652" s="22" t="n">
        <x:v>36</x:v>
      </x:c>
      <x:c r="F652" s="18" t="str">
        <x:v>NO: recuperar</x:v>
      </x:c>
      <x:c r="G652" s="18" t="str">
        <x:v>Generate fantasy names, business ideas or usernames with a reusable seed. Free, no account, no availability claims.</x:v>
      </x:c>
      <x:c r="H652" s="18" t="str">
        <x:v>Sitemap + metadatos de página pública</x:v>
      </x:c>
    </x:row>
    <x:row r="653" ht="48" customHeight="1">
      <x:c r="A653" s="18" t="str">
        <x:v>random-word-generator</x:v>
      </x:c>
      <x:c r="B653" s="18" t="str">
        <x:v>Random Word Generator — Free Online | UsefulVerse</x:v>
      </x:c>
      <x:c r="C653" s="18" t="str">
        <x:v>tools.usefulverse.com</x:v>
      </x:c>
      <x:c r="D653" s="18" t="str">
        <x:v>https://tools.usefulverse.com/tools/random-word-generator/</x:v>
      </x:c>
      <x:c r="E653" s="22" t="n">
        <x:v>36</x:v>
      </x:c>
      <x:c r="F653" s="18" t="str">
        <x:v>NO: recuperar</x:v>
      </x:c>
      <x:c r="G653" s="18" t="str">
        <x:v>Generate unique random words by category and length. Free, no account, with no upload.</x:v>
      </x:c>
      <x:c r="H653" s="18" t="str">
        <x:v>Sitemap + metadatos de página pública</x:v>
      </x:c>
    </x:row>
    <x:row r="654" ht="48" customHeight="1">
      <x:c r="A654" s="18" t="str">
        <x:v>breathing-exercise</x:v>
      </x:c>
      <x:c r="B654" s="18" t="str">
        <x:v>Breathing Exercise — Free Online | UsefulVerse</x:v>
      </x:c>
      <x:c r="C654" s="18" t="str">
        <x:v>tools.usefulverse.com</x:v>
      </x:c>
      <x:c r="D654" s="18" t="str">
        <x:v>https://tools.usefulverse.com/tools/breathing-exercise/</x:v>
      </x:c>
      <x:c r="E654" s="22" t="n">
        <x:v>36</x:v>
      </x:c>
      <x:c r="F654" s="18" t="str">
        <x:v>NO: recuperar</x:v>
      </x:c>
      <x:c r="G654" s="18" t="str">
        <x:v>Follow a free breathing timer with box, 4-7-8 or custom pacing. Optional sound, pause and reset; no account or upload.</x:v>
      </x:c>
      <x:c r="H654" s="18" t="str">
        <x:v>Sitemap + metadatos de página pública</x:v>
      </x:c>
    </x:row>
    <x:row r="655" ht="48" customHeight="1">
      <x:c r="A655" s="18" t="str">
        <x:v>alarm-clock</x:v>
      </x:c>
      <x:c r="B655" s="18" t="str">
        <x:v>Online Alarm Clock Free with Snooze | UsefulVerse</x:v>
      </x:c>
      <x:c r="C655" s="18" t="str">
        <x:v>tools.usefulverse.com</x:v>
      </x:c>
      <x:c r="D655" s="18" t="str">
        <x:v>https://tools.usefulverse.com/tools/alarm-clock/</x:v>
      </x:c>
      <x:c r="E655" s="22" t="n">
        <x:v>36</x:v>
      </x:c>
      <x:c r="F655" s="18" t="str">
        <x:v>NO: recuperar</x:v>
      </x:c>
      <x:c r="G655" s="18" t="str">
        <x:v>Set a free browser alarm for a local date and time, test an optional sound, then stop or snooze it for five minutes.</x:v>
      </x:c>
      <x:c r="H655" s="18" t="str">
        <x:v>Sitemap + metadatos de página pública</x:v>
      </x:c>
    </x:row>
    <x:row r="656" ht="48" customHeight="1">
      <x:c r="A656" s="18" t="str">
        <x:v>dividend-calculator</x:v>
      </x:c>
      <x:c r="B656" s="18" t="str">
        <x:v>Dividend Calculator Free &amp; DRIP Projection | UsefulVerse</x:v>
      </x:c>
      <x:c r="C656" s="18" t="str">
        <x:v>tools.usefulverse.com</x:v>
      </x:c>
      <x:c r="D656" s="18" t="str">
        <x:v>https://tools.usefulverse.com/tools/dividend-calculator/</x:v>
      </x:c>
      <x:c r="E656" s="22" t="n">
        <x:v>36</x:v>
      </x:c>
      <x:c r="F656" s="18" t="str">
        <x:v>NO: recuperar</x:v>
      </x:c>
      <x:c r="G656" s="18" t="str">
        <x:v>Estimate dividend income, payout yield and reinvestment growth with your own assumptions. Free, local and no signup. No live market data.</x:v>
      </x:c>
      <x:c r="H656" s="18" t="str">
        <x:v>Sitemap + metadatos de página pública</x:v>
      </x:c>
    </x:row>
    <x:row r="657" ht="48" customHeight="1">
      <x:c r="A657" s="18" t="str">
        <x:v>net-worth-calculator</x:v>
      </x:c>
      <x:c r="B657" s="18" t="str">
        <x:v>Net Worth Calculator Free &amp; Private | UsefulVerse</x:v>
      </x:c>
      <x:c r="C657" s="18" t="str">
        <x:v>tools.usefulverse.com</x:v>
      </x:c>
      <x:c r="D657" s="18" t="str">
        <x:v>https://tools.usefulverse.com/tools/net-worth-calculator/</x:v>
      </x:c>
      <x:c r="E657" s="22" t="n">
        <x:v>36</x:v>
      </x:c>
      <x:c r="F657" s="18" t="str">
        <x:v>NO: recuperar</x:v>
      </x:c>
      <x:c r="G657" s="18" t="str">
        <x:v>Total your assets and debts, compare dated snapshots and export CSV. Free and local, with optional browser-only saving.</x:v>
      </x:c>
      <x:c r="H657" s="18" t="str">
        <x:v>Sitemap + metadatos de página pública</x:v>
      </x:c>
    </x:row>
    <x:row r="658" ht="48" customHeight="1">
      <x:c r="A658" s="18" t="str">
        <x:v>body-surface-area-calculator</x:v>
      </x:c>
      <x:c r="B658" s="18" t="str">
        <x:v>Body Surface Area Calculator Free | UsefulVerse</x:v>
      </x:c>
      <x:c r="C658" s="18" t="str">
        <x:v>tools.usefulverse.com</x:v>
      </x:c>
      <x:c r="D658" s="18" t="str">
        <x:v>https://tools.usefulverse.com/tools/body-surface-area-calculator/</x:v>
      </x:c>
      <x:c r="E658" s="22" t="n">
        <x:v>36</x:v>
      </x:c>
      <x:c r="F658" s="18" t="str">
        <x:v>NO: recuperar</x:v>
      </x:c>
      <x:c r="G658" s="18" t="str">
        <x:v>Estimate adult body surface area with Mosteller and Du Bois formulas. Free, local calculations with metric or US units.</x:v>
      </x:c>
      <x:c r="H658" s="18" t="str">
        <x:v>Sitemap + metadatos de página pública</x:v>
      </x:c>
    </x:row>
    <x:row r="659" ht="48" customHeight="1">
      <x:c r="A659" s="18" t="str">
        <x:v>weekly-planner</x:v>
      </x:c>
      <x:c r="B659" s="18" t="str">
        <x:v>Weekly Planner Free | UsefulVerse</x:v>
      </x:c>
      <x:c r="C659" s="18" t="str">
        <x:v>tools.usefulverse.com</x:v>
      </x:c>
      <x:c r="D659" s="18" t="str">
        <x:v>https://tools.usefulverse.com/tools/weekly-planner/</x:v>
      </x:c>
      <x:c r="E659" s="22" t="n">
        <x:v>36</x:v>
      </x:c>
      <x:c r="F659" s="18" t="str">
        <x:v>NO: recuperar</x:v>
      </x:c>
      <x:c r="G659" s="18" t="str">
        <x:v>Plan a weekly schedule, spot overlapping time blocks, and print or back up your plan. Free, with no account.</x:v>
      </x:c>
      <x:c r="H659" s="18" t="str">
        <x:v>Sitemap + metadatos de página pública</x:v>
      </x:c>
    </x:row>
    <x:row r="660" ht="48" customHeight="1">
      <x:c r="A660" s="18" t="str">
        <x:v>overtime-calculator</x:v>
      </x:c>
      <x:c r="B660" s="18" t="str">
        <x:v>Overtime Calculator Free | UsefulVerse</x:v>
      </x:c>
      <x:c r="C660" s="18" t="str">
        <x:v>tools.usefulverse.com</x:v>
      </x:c>
      <x:c r="D660" s="18" t="str">
        <x:v>https://tools.usefulverse.com/tools/overtime-calculator/</x:v>
      </x:c>
      <x:c r="E660" s="22" t="n">
        <x:v>36</x:v>
      </x:c>
      <x:c r="F660" s="18" t="str">
        <x:v>NO: recuperar</x:v>
      </x:c>
      <x:c r="G660" s="18" t="str">
        <x:v>Estimate regular and overtime pay from your own hours, threshold, hourly rate, and multiplier. Free calculator; no account.</x:v>
      </x:c>
      <x:c r="H660" s="18" t="str">
        <x:v>Sitemap + metadatos de página pública</x:v>
      </x:c>
    </x:row>
    <x:row r="661" ht="48" customHeight="1">
      <x:c r="A661" s="18" t="str">
        <x:v>meeting-minutes-template</x:v>
      </x:c>
      <x:c r="B661" s="18" t="str">
        <x:v>Meeting Minutes Template Free | UsefulVerse</x:v>
      </x:c>
      <x:c r="C661" s="18" t="str">
        <x:v>tools.usefulverse.com</x:v>
      </x:c>
      <x:c r="D661" s="18" t="str">
        <x:v>https://tools.usefulverse.com/tools/meeting-minutes-template/</x:v>
      </x:c>
      <x:c r="E661" s="22" t="n">
        <x:v>36</x:v>
      </x:c>
      <x:c r="F661" s="18" t="str">
        <x:v>NO: recuperar</x:v>
      </x:c>
      <x:c r="G661" s="18" t="str">
        <x:v>Create structured meeting minutes with attendees, decisions, and action owners and due dates. Edit, print, or export Markdown.</x:v>
      </x:c>
      <x:c r="H661" s="18" t="str">
        <x:v>Sitemap + metadatos de página pública</x:v>
      </x:c>
    </x:row>
    <x:row r="662" ht="48" customHeight="1">
      <x:c r="A662" s="18" t="str">
        <x:v>color-mixer</x:v>
      </x:c>
      <x:c r="B662" s="18" t="str">
        <x:v>Color Mixer — Free HEX &amp; RGB Tool | UsefulVerse</x:v>
      </x:c>
      <x:c r="C662" s="18" t="str">
        <x:v>tools.usefulverse.com</x:v>
      </x:c>
      <x:c r="D662" s="18" t="str">
        <x:v>https://tools.usefulverse.com/tools/color-mixer/</x:v>
      </x:c>
      <x:c r="E662" s="22" t="n">
        <x:v>36</x:v>
      </x:c>
      <x:c r="F662" s="18" t="str">
        <x:v>NO: recuperar</x:v>
      </x:c>
      <x:c r="G662" s="18" t="str">
        <x:v>Mix two or more colors by weight. Compare sRGB and linear-light results, build a color ramp, and copy HEX, RGB, or HSL values free.</x:v>
      </x:c>
      <x:c r="H662" s="18" t="str">
        <x:v>Sitemap + metadatos de página pública</x:v>
      </x:c>
    </x:row>
    <x:row r="663" ht="48" customHeight="1">
      <x:c r="A663" s="18" t="str">
        <x:v>debt-to-income-ratio-calculator</x:v>
      </x:c>
      <x:c r="B663" s="18" t="str">
        <x:v>Debt-to-Income Calculator — Free DTI Tool | UsefulVerse</x:v>
      </x:c>
      <x:c r="C663" s="18" t="str">
        <x:v>tools.usefulverse.com</x:v>
      </x:c>
      <x:c r="D663" s="18" t="str">
        <x:v>https://tools.usefulverse.com/tools/debt-to-income-ratio-calculator/</x:v>
      </x:c>
      <x:c r="E663" s="22" t="n">
        <x:v>36</x:v>
      </x:c>
      <x:c r="F663" s="18" t="str">
        <x:v>NO: recuperar</x:v>
      </x:c>
      <x:c r="G663" s="18" t="str">
        <x:v>Calculate your front-end and total debt-to-income ratios from gross monthly income, housing costs, and monthly debt payments. Free and private.</x:v>
      </x:c>
      <x:c r="H663" s="18" t="str">
        <x:v>Sitemap + metadatos de página pública</x:v>
      </x:c>
    </x:row>
    <x:row r="664" ht="48" customHeight="1">
      <x:c r="A664" s="18" t="str">
        <x:v>car-lease-calculator</x:v>
      </x:c>
      <x:c r="B664" s="18" t="str">
        <x:v>Car Lease Calculator Free | UsefulVerse</x:v>
      </x:c>
      <x:c r="C664" s="18" t="str">
        <x:v>tools.usefulverse.com</x:v>
      </x:c>
      <x:c r="D664" s="18" t="str">
        <x:v>https://tools.usefulverse.com/tools/car-lease-calculator/</x:v>
      </x:c>
      <x:c r="E664" s="22" t="n">
        <x:v>36</x:v>
      </x:c>
      <x:c r="F664" s="18" t="str">
        <x:v>NO: recuperar</x:v>
      </x:c>
      <x:c r="G664" s="18" t="str">
        <x:v>Estimate a car lease payment from price, residual value, term, money factor, cap reduction, and tax. Free, private estimate.</x:v>
      </x:c>
      <x:c r="H664" s="18" t="str">
        <x:v>Sitemap + metadatos de página pública</x:v>
      </x:c>
    </x:row>
    <x:row r="665" ht="48" customHeight="1">
      <x:c r="A665" s="18" t="str">
        <x:v>fire-calculator</x:v>
      </x:c>
      <x:c r="B665" s="18" t="str">
        <x:v>FIRE Calculator Free | UsefulVerse</x:v>
      </x:c>
      <x:c r="C665" s="18" t="str">
        <x:v>tools.usefulverse.com</x:v>
      </x:c>
      <x:c r="D665" s="18" t="str">
        <x:v>https://tools.usefulverse.com/tools/fire-calculator/</x:v>
      </x:c>
      <x:c r="E665" s="22" t="n">
        <x:v>36</x:v>
      </x:c>
      <x:c r="F665" s="18" t="str">
        <x:v>NO: recuperar</x:v>
      </x:c>
      <x:c r="G665" s="18" t="str">
        <x:v>Estimate a financial independence target and timeline from spending, withdrawal rate, savings, returns, and inflation. Free and private.</x:v>
      </x:c>
      <x:c r="H665" s="18" t="str">
        <x:v>Sitemap + metadatos de página pública</x:v>
      </x:c>
    </x:row>
    <x:row r="666" ht="48" customHeight="1">
      <x:c r="A666" s="18" t="str">
        <x:v>email-signature-generator</x:v>
      </x:c>
      <x:c r="B666" s="18" t="str">
        <x:v>Email Signature Generator Free | UsefulVerse</x:v>
      </x:c>
      <x:c r="C666" s="18" t="str">
        <x:v>tools.usefulverse.com</x:v>
      </x:c>
      <x:c r="D666" s="18" t="str">
        <x:v>https://tools.usefulverse.com/tools/email-signature-generator/</x:v>
      </x:c>
      <x:c r="E666" s="22" t="n">
        <x:v>36</x:v>
      </x:c>
      <x:c r="F666" s="18" t="str">
        <x:v>NO: recuperar</x:v>
      </x:c>
      <x:c r="G666" s="18" t="str">
        <x:v>Create a simple email signature with links and an optional small logo. Preview and copy it free in your browser.</x:v>
      </x:c>
      <x:c r="H666" s="18" t="str">
        <x:v>Sitemap + metadatos de página pública</x:v>
      </x:c>
    </x:row>
    <x:row r="667" ht="48" customHeight="1">
      <x:c r="A667" s="18" t="str">
        <x:v>image-vectorizer</x:v>
      </x:c>
      <x:c r="B667" s="18" t="str">
        <x:v>Image Vectorizer Free | UsefulVerse</x:v>
      </x:c>
      <x:c r="C667" s="18" t="str">
        <x:v>tools.usefulverse.com</x:v>
      </x:c>
      <x:c r="D667" s="18" t="str">
        <x:v>https://tools.usefulverse.com/tools/image-vectorizer/</x:v>
      </x:c>
      <x:c r="E667" s="22" t="n">
        <x:v>36</x:v>
      </x:c>
      <x:c r="F667" s="18" t="str">
        <x:v>NO: recuperar</x:v>
      </x:c>
      <x:c r="G667" s="18" t="str">
        <x:v>Turn simple PNG, JPEG, or WebP artwork into editable SVG paths in your browser. Free local vectorizer.</x:v>
      </x:c>
      <x:c r="H667" s="18" t="str">
        <x:v>Sitemap + metadatos de página pública</x:v>
      </x:c>
    </x:row>
    <x:row r="668" ht="48" customHeight="1">
      <x:c r="A668" s="18" t="str">
        <x:v>vo2-max-calculator</x:v>
      </x:c>
      <x:c r="B668" s="18" t="str">
        <x:v>VO2 Max Calculator Free | UsefulVerse</x:v>
      </x:c>
      <x:c r="C668" s="18" t="str">
        <x:v>tools.usefulverse.com</x:v>
      </x:c>
      <x:c r="D668" s="18" t="str">
        <x:v>https://tools.usefulverse.com/tools/vo2-max-calculator/</x:v>
      </x:c>
      <x:c r="E668" s="22" t="n">
        <x:v>36</x:v>
      </x:c>
      <x:c r="F668" s="18" t="str">
        <x:v>NO: recuperar</x:v>
      </x:c>
      <x:c r="G668" s="18" t="str">
        <x:v>Estimate VO2 max with the Cooper run or Rockport walk test. Free browser calculator with clear method limits.</x:v>
      </x:c>
      <x:c r="H668" s="18" t="str">
        <x:v>Sitemap + metadatos de página pública</x:v>
      </x:c>
    </x:row>
    <x:row r="669" ht="48" customHeight="1">
      <x:c r="A669" s="18" t="str">
        <x:v>calories-burned-calculator</x:v>
      </x:c>
      <x:c r="B669" s="18" t="str">
        <x:v>Calories Burned Calculator Free | UsefulVerse</x:v>
      </x:c>
      <x:c r="C669" s="18" t="str">
        <x:v>tools.usefulverse.com</x:v>
      </x:c>
      <x:c r="D669" s="18" t="str">
        <x:v>https://tools.usefulverse.com/tools/calories-burned-calculator/</x:v>
      </x:c>
      <x:c r="E669" s="22" t="n">
        <x:v>36</x:v>
      </x:c>
      <x:c r="F669" s="18" t="str">
        <x:v>NO: recuperar</x:v>
      </x:c>
      <x:c r="G669" s="18" t="str">
        <x:v>Estimate exercise calories from your weight, activity and workout time. Free MET-based calculator with no sign-up; results are estimates.</x:v>
      </x:c>
      <x:c r="H669" s="18" t="str">
        <x:v>Sitemap + metadatos de página pública</x:v>
      </x:c>
    </x:row>
    <x:row r="670" ht="48" customHeight="1">
      <x:c r="A670" s="18" t="str">
        <x:v>rhyme-finder</x:v>
      </x:c>
      <x:c r="B670" s="18" t="str">
        <x:v>Rhyme Finder Free Online | UsefulVerse</x:v>
      </x:c>
      <x:c r="C670" s="18" t="str">
        <x:v>tools.usefulverse.com</x:v>
      </x:c>
      <x:c r="D670" s="18" t="str">
        <x:v>https://tools.usefulverse.com/tools/rhyme-finder/</x:v>
      </x:c>
      <x:c r="E670" s="22" t="n">
        <x:v>36</x:v>
      </x:c>
      <x:c r="F670" s="18" t="str">
        <x:v>NO: recuperar</x:v>
      </x:c>
      <x:c r="G670" s="18" t="str">
        <x:v>Group words by matching written endings in a poem or custom list. Free, private, and no account. Spelling helper, not a pronunciation dictionary.</x:v>
      </x:c>
      <x:c r="H670" s="18" t="str">
        <x:v>Sitemap + metadatos de página pública</x:v>
      </x:c>
    </x:row>
    <x:row r="671" ht="48" customHeight="1">
      <x:c r="A671" s="18" t="str">
        <x:v>water-intake-calculator</x:v>
      </x:c>
      <x:c r="B671" s="18" t="str">
        <x:v>Water Intake Calculator Free | UsefulVerse</x:v>
      </x:c>
      <x:c r="C671" s="18" t="str">
        <x:v>tools.usefulverse.com</x:v>
      </x:c>
      <x:c r="D671" s="18" t="str">
        <x:v>https://tools.usefulverse.com/tools/water-intake-calculator/</x:v>
      </x:c>
      <x:c r="E671" s="22" t="n">
        <x:v>36</x:v>
      </x:c>
      <x:c r="F671" s="18" t="str">
        <x:v>NO: recuperar</x:v>
      </x:c>
      <x:c r="G671" s="18" t="str">
        <x:v>Compare entered daily fluids and food water with a general adult reference. Free, private calculator with liters and US cups.</x:v>
      </x:c>
      <x:c r="H671" s="18" t="str">
        <x:v>Sitemap + metadatos de página pública</x:v>
      </x:c>
    </x:row>
    <x:row r="672" ht="48" customHeight="1">
      <x:c r="A672" s="18" t="str">
        <x:v>cpm-calculator</x:v>
      </x:c>
      <x:c r="B672" s="18" t="str">
        <x:v>CPM Calculator Free Unlimited | UsefulVerse</x:v>
      </x:c>
      <x:c r="C672" s="18" t="str">
        <x:v>tools.usefulverse.com</x:v>
      </x:c>
      <x:c r="D672" s="18" t="str">
        <x:v>https://tools.usefulverse.com/tools/cpm-calculator/</x:v>
      </x:c>
      <x:c r="E672" s="22" t="n">
        <x:v>36</x:v>
      </x:c>
      <x:c r="F672" s="18" t="str">
        <x:v>NO: recuperar</x:v>
      </x:c>
      <x:c r="G672" s="18" t="str">
        <x:v>Calculate CPM, ad spend or impressions from two values. Free, unlimited and local to your browser.</x:v>
      </x:c>
      <x:c r="H672" s="18" t="str">
        <x:v>Sitemap + metadatos de página pública</x:v>
      </x:c>
    </x:row>
    <x:row r="673" ht="48" customHeight="1">
      <x:c r="A673" s="18" t="str">
        <x:v>annuity-calculator</x:v>
      </x:c>
      <x:c r="B673" s="18" t="str">
        <x:v>Annuity Calculator Free | UsefulVerse</x:v>
      </x:c>
      <x:c r="C673" s="18" t="str">
        <x:v>tools.usefulverse.com</x:v>
      </x:c>
      <x:c r="D673" s="18" t="str">
        <x:v>https://tools.usefulverse.com/tools/annuity-calculator/</x:v>
      </x:c>
      <x:c r="E673" s="22" t="n">
        <x:v>36</x:v>
      </x:c>
      <x:c r="F673" s="18" t="str">
        <x:v>NO: recuperar</x:v>
      </x:c>
      <x:c r="G673" s="18" t="str">
        <x:v>Calculate an annuity’s future value, present value or required periodic payment. Compare payment timing and frequencies with a free local estimate.</x:v>
      </x:c>
      <x:c r="H673" s="18" t="str">
        <x:v>Sitemap + metadatos de página pública</x:v>
      </x:c>
    </x:row>
    <x:row r="674" ht="48" customHeight="1">
      <x:c r="A674" s="18" t="str">
        <x:v>options-profit-calculator</x:v>
      </x:c>
      <x:c r="B674" s="18" t="str">
        <x:v>Options Profit Calculator Free | UsefulVerse</x:v>
      </x:c>
      <x:c r="C674" s="18" t="str">
        <x:v>tools.usefulverse.com</x:v>
      </x:c>
      <x:c r="D674" s="18" t="str">
        <x:v>https://tools.usefulverse.com/tools/options-profit-calculator/</x:v>
      </x:c>
      <x:c r="E674" s="22" t="n">
        <x:v>36</x:v>
      </x:c>
      <x:c r="F674" s="18" t="str">
        <x:v>NO: recuperar</x:v>
      </x:c>
      <x:c r="G674" s="18" t="str">
        <x:v>Estimate a single call or put position at expiration. See profit, break-even and risk with a free local options payoff calculator.</x:v>
      </x:c>
      <x:c r="H674" s="18" t="str">
        <x:v>Sitemap + metadatos de página pública</x:v>
      </x:c>
    </x:row>
    <x:row r="675" ht="48" customHeight="1">
      <x:c r="A675" s="18" t="str">
        <x:v>cribbage</x:v>
      </x:c>
      <x:c r="B675" s="18" t="str">
        <x:v>Cribbage Game &amp; Score Calculator | UsefulVerse</x:v>
      </x:c>
      <x:c r="C675" s="18" t="str">
        <x:v>tools.usefulverse.com</x:v>
      </x:c>
      <x:c r="D675" s="18" t="str">
        <x:v>https://tools.usefulverse.com/tools/cribbage/</x:v>
      </x:c>
      <x:c r="E675" s="22" t="n">
        <x:v>36</x:v>
      </x:c>
      <x:c r="F675" s="18" t="str">
        <x:v>NO: recuperar</x:v>
      </x:c>
      <x:c r="G675" s="18" t="str">
        <x:v>Play Cribbage against a local computer and score hands, pegging and the crib. Free, private, no account or network opponent.</x:v>
      </x:c>
      <x:c r="H675" s="18" t="str">
        <x:v>Sitemap + metadatos de página pública</x:v>
      </x:c>
    </x:row>
    <x:row r="676" ht="48" customHeight="1">
      <x:c r="A676" s="18" t="str">
        <x:v>gin-rummy</x:v>
      </x:c>
      <x:c r="B676" s="18" t="str">
        <x:v>Gin Rummy Game Online Free | UsefulVerse</x:v>
      </x:c>
      <x:c r="C676" s="18" t="str">
        <x:v>tools.usefulverse.com</x:v>
      </x:c>
      <x:c r="D676" s="18" t="str">
        <x:v>https://tools.usefulverse.com/tools/gin-rummy/</x:v>
      </x:c>
      <x:c r="E676" s="22" t="n">
        <x:v>36</x:v>
      </x:c>
      <x:c r="F676" s="18" t="str">
        <x:v>NO: recuperar</x:v>
      </x:c>
      <x:c r="G676" s="18" t="str">
        <x:v>Play Gin Rummy online against a local browser opponent. Form runs and sets, track deadwood, knock or go gin. Free, no account.</x:v>
      </x:c>
      <x:c r="H676" s="18" t="str">
        <x:v>Sitemap + metadatos de página pública</x:v>
      </x:c>
    </x:row>
    <x:row r="677" ht="48" customHeight="1">
      <x:c r="A677" s="18" t="str">
        <x:v>gold-calculator</x:v>
      </x:c>
      <x:c r="B677" s="18" t="str">
        <x:v>Gold Calculator Free | UsefulVerse</x:v>
      </x:c>
      <x:c r="C677" s="18" t="str">
        <x:v>tools.usefulverse.com</x:v>
      </x:c>
      <x:c r="D677" s="18" t="str">
        <x:v>https://tools.usefulverse.com/tools/gold-calculator/</x:v>
      </x:c>
      <x:c r="E677" s="22" t="n">
        <x:v>36</x:v>
      </x:c>
      <x:c r="F677" s="18" t="str">
        <x:v>NO: recuperar</x:v>
      </x:c>
      <x:c r="G677" s="18" t="str">
        <x:v>Calculate fine-gold content by weight and purity, then estimate value with your own price. Free, no account, no live quote.</x:v>
      </x:c>
      <x:c r="H677" s="18" t="str">
        <x:v>Sitemap + metadatos de página pública</x:v>
      </x:c>
    </x:row>
    <x:row r="678" ht="48" customHeight="1">
      <x:c r="A678" s="18" t="str">
        <x:v>mortgage-refinance-calculator</x:v>
      </x:c>
      <x:c r="B678" s="18" t="str">
        <x:v>Mortgage Refinance Calculator Free | UsefulVerse</x:v>
      </x:c>
      <x:c r="C678" s="18" t="str">
        <x:v>tools.usefulverse.com</x:v>
      </x:c>
      <x:c r="D678" s="18" t="str">
        <x:v>https://tools.usefulverse.com/tools/mortgage-refinance-calculator/</x:v>
      </x:c>
      <x:c r="E678" s="22" t="n">
        <x:v>36</x:v>
      </x:c>
      <x:c r="F678" s="18" t="str">
        <x:v>NO: recuperar</x:v>
      </x:c>
      <x:c r="G678" s="18" t="str">
        <x:v>Compare your remaining mortgage with a refinance, including closing costs, payment changes, total cost and break-even. Free, private, no account.</x:v>
      </x:c>
      <x:c r="H678" s="18" t="str">
        <x:v>Sitemap + metadatos de página pública</x:v>
      </x:c>
    </x:row>
    <x:row r="679" ht="48" customHeight="1">
      <x:c r="A679" s="18" t="str">
        <x:v>cash-on-cash-return-calculator</x:v>
      </x:c>
      <x:c r="B679" s="18" t="str">
        <x:v>Cash-on-Cash Return Calculator Free | UsefulVerse</x:v>
      </x:c>
      <x:c r="C679" s="18" t="str">
        <x:v>tools.usefulverse.com</x:v>
      </x:c>
      <x:c r="D679" s="18" t="str">
        <x:v>https://tools.usefulverse.com/tools/cash-on-cash-return-calculator/</x:v>
      </x:c>
      <x:c r="E679" s="22" t="n">
        <x:v>36</x:v>
      </x:c>
      <x:c r="F679" s="18" t="str">
        <x:v>NO: recuperar</x:v>
      </x:c>
      <x:c r="G679" s="18" t="str">
        <x:v>Estimate rental property cash-on-cash return from rent, monthly costs, debt service and cash invested. Free, private, no account.</x:v>
      </x:c>
      <x:c r="H679" s="18" t="str">
        <x:v>Sitemap + metadatos de página pública</x:v>
      </x:c>
    </x:row>
    <x:row r="680" ht="48" customHeight="1">
      <x:c r="A680" s="18" t="str">
        <x:v>forex-position-size-calculator</x:v>
      </x:c>
      <x:c r="B680" s="18" t="str">
        <x:v>Forex Position Size Calculator Free | UsefulVerse</x:v>
      </x:c>
      <x:c r="C680" s="18" t="str">
        <x:v>tools.usefulverse.com</x:v>
      </x:c>
      <x:c r="D680" s="18" t="str">
        <x:v>https://tools.usefulverse.com/tools/forex-position-size-calculator/</x:v>
      </x:c>
      <x:c r="E680" s="22" t="n">
        <x:v>36</x:v>
      </x:c>
      <x:c r="F680" s="18" t="str">
        <x:v>NO: recuperar</x:v>
      </x:c>
      <x:c r="G680" s="18" t="str">
        <x:v>Calculate forex lot size from account balance, risk, stop-loss pips and pip value. Free, private, no live FX data or account.</x:v>
      </x:c>
      <x:c r="H680" s="18" t="str">
        <x:v>Sitemap + metadatos de página pública</x:v>
      </x:c>
    </x:row>
    <x:row r="681" ht="48" customHeight="1">
      <x:c r="A681" s="18" t="str">
        <x:v>lease-vs-buy-car-calculator</x:v>
      </x:c>
      <x:c r="B681" s="18" t="str">
        <x:v>Lease vs Buy Car Calculator Free | UsefulVerse</x:v>
      </x:c>
      <x:c r="C681" s="18" t="str">
        <x:v>tools.usefulverse.com</x:v>
      </x:c>
      <x:c r="D681" s="18" t="str">
        <x:v>https://tools.usefulverse.com/tools/lease-vs-buy-car-calculator/</x:v>
      </x:c>
      <x:c r="E681" s="22" t="n">
        <x:v>36</x:v>
      </x:c>
      <x:c r="F681" s="18" t="str">
        <x:v>NO: recuperar</x:v>
      </x:c>
      <x:c r="G681" s="18" t="str">
        <x:v>Compare car lease and purchase costs over your use period, including mileage, maintenance and resale value. Free, private, no account.</x:v>
      </x:c>
      <x:c r="H681" s="18" t="str">
        <x:v>Sitemap + metadatos de página pública</x:v>
      </x:c>
    </x:row>
    <x:row r="682" ht="48" customHeight="1">
      <x:c r="A682" s="18" t="str">
        <x:v>epub-to-pdf</x:v>
      </x:c>
      <x:c r="B682" s="18" t="str">
        <x:v>EPUB to PDF Converter Free | UsefulVerse</x:v>
      </x:c>
      <x:c r="C682" s="18" t="str">
        <x:v>tools.usefulverse.com</x:v>
      </x:c>
      <x:c r="D682" s="18" t="str">
        <x:v>https://tools.usefulverse.com/tools/epub-to-pdf/</x:v>
      </x:c>
      <x:c r="E682" s="22" t="n">
        <x:v>36</x:v>
      </x:c>
      <x:c r="F682" s="18" t="str">
        <x:v>NO: recuperar</x:v>
      </x:c>
      <x:c r="G682" s="18" t="str">
        <x:v>Convert an EPUB ebook to a clean, printable PDF locally. Free, no account; save as PDF from your browser’s print dialog.</x:v>
      </x:c>
      <x:c r="H682" s="18" t="str">
        <x:v>Sitemap + metadatos de página pública</x:v>
      </x:c>
    </x:row>
    <x:row r="683" ht="48" customHeight="1">
      <x:c r="A683" s="18" t="str">
        <x:v>spider-solitaire</x:v>
      </x:c>
      <x:c r="B683" s="18" t="str">
        <x:v>Spider Solitaire Online Free | UsefulVerse</x:v>
      </x:c>
      <x:c r="C683" s="18" t="str">
        <x:v>tools.usefulverse.com</x:v>
      </x:c>
      <x:c r="D683" s="18" t="str">
        <x:v>https://tools.usefulverse.com/tools/spider-solitaire/</x:v>
      </x:c>
      <x:c r="E683" s="22" t="n">
        <x:v>36</x:v>
      </x:c>
      <x:c r="F683" s="18" t="str">
        <x:v>NO: recuperar</x:v>
      </x:c>
      <x:c r="G683" s="18" t="str">
        <x:v>Play Spider Solitaire in 1, 2 or 4 suits with undo, hints and fresh deals. Free in your browser, no account or download.</x:v>
      </x:c>
      <x:c r="H683" s="18" t="str">
        <x:v>Sitemap + metadatos de página pública</x:v>
      </x:c>
    </x:row>
    <x:row r="684" ht="48" customHeight="1">
      <x:c r="A684" s="18" t="str">
        <x:v>freecell</x:v>
      </x:c>
      <x:c r="B684" s="18" t="str">
        <x:v>FreeCell Solitaire Online Free | UsefulVerse</x:v>
      </x:c>
      <x:c r="C684" s="18" t="str">
        <x:v>tools.usefulverse.com</x:v>
      </x:c>
      <x:c r="D684" s="18" t="str">
        <x:v>https://tools.usefulverse.com/tools/freecell/</x:v>
      </x:c>
      <x:c r="E684" s="22" t="n">
        <x:v>36</x:v>
      </x:c>
      <x:c r="F684" s="18" t="str">
        <x:v>NO: recuperar</x:v>
      </x:c>
      <x:c r="G684" s="18" t="str">
        <x:v>Play FreeCell online with legal supermoves, hints, undo and replayable deals. Free in your browser, no account or download.</x:v>
      </x:c>
      <x:c r="H684" s="18" t="str">
        <x:v>Sitemap + metadatos de página pública</x:v>
      </x:c>
    </x:row>
    <x:row r="685" ht="48" customHeight="1">
      <x:c r="A685" s="18" t="str">
        <x:v>snake-game</x:v>
      </x:c>
      <x:c r="B685" s="18" t="str">
        <x:v>Snake Game Online Free | UsefulVerse</x:v>
      </x:c>
      <x:c r="C685" s="18" t="str">
        <x:v>tools.usefulverse.com</x:v>
      </x:c>
      <x:c r="D685" s="18" t="str">
        <x:v>https://tools.usefulverse.com/tools/snake-game/</x:v>
      </x:c>
      <x:c r="E685" s="22" t="n">
        <x:v>36</x:v>
      </x:c>
      <x:c r="F685" s="18" t="str">
        <x:v>NO: recuperar</x:v>
      </x:c>
      <x:c r="G685" s="18" t="str">
        <x:v>Play a free snake game with keyboard or touch controls, pause, three speeds and a fresh board each round. No account or download.</x:v>
      </x:c>
      <x:c r="H685" s="18" t="str">
        <x:v>Sitemap + metadatos de página pública</x:v>
      </x:c>
    </x:row>
    <x:row r="686" ht="48" customHeight="1">
      <x:c r="A686" s="18" t="str">
        <x:v>gomoku</x:v>
      </x:c>
      <x:c r="B686" s="18" t="str">
        <x:v>Gomoku Online Free | UsefulVerse</x:v>
      </x:c>
      <x:c r="C686" s="18" t="str">
        <x:v>tools.usefulverse.com</x:v>
      </x:c>
      <x:c r="D686" s="18" t="str">
        <x:v>https://tools.usefulverse.com/tools/gomoku/</x:v>
      </x:c>
      <x:c r="E686" s="22" t="n">
        <x:v>36</x:v>
      </x:c>
      <x:c r="F686" s="18" t="str">
        <x:v>NO: recuperar</x:v>
      </x:c>
      <x:c r="G686" s="18" t="str">
        <x:v>Play Gomoku free on a 15×15 board against a simple local bot or a friend. No download or account; moves stay in your browser.</x:v>
      </x:c>
      <x:c r="H686" s="18" t="str">
        <x:v>Sitemap + metadatos de página pública</x:v>
      </x:c>
    </x:row>
    <x:row r="687" ht="48" customHeight="1">
      <x:c r="A687" s="18" t="str">
        <x:v>poker-odds-calculator</x:v>
      </x:c>
      <x:c r="B687" s="18" t="str">
        <x:v>Poker Odds Calculator Free | UsefulVerse</x:v>
      </x:c>
      <x:c r="C687" s="18" t="str">
        <x:v>tools.usefulverse.com</x:v>
      </x:c>
      <x:c r="D687" s="18" t="str">
        <x:v>https://tools.usefulverse.com/tools/poker-odds-calculator/</x:v>
      </x:c>
      <x:c r="E687" s="22" t="n">
        <x:v>36</x:v>
      </x:c>
      <x:c r="F687" s="18" t="str">
        <x:v>NO: recuperar</x:v>
      </x:c>
      <x:c r="G687" s="18" t="str">
        <x:v>Estimate Texas Hold’em win, tie and equity odds free. Run exact river odds or seeded local simulations; no account or uploads.</x:v>
      </x:c>
      <x:c r="H687" s="18" t="str">
        <x:v>Sitemap + metadatos de página pública</x:v>
      </x:c>
    </x:row>
    <x:row r="688" ht="48" customHeight="1">
      <x:c r="A688" s="18" t="str">
        <x:v>heart-rate-zone-calculator</x:v>
      </x:c>
      <x:c r="B688" s="18" t="str">
        <x:v>Heart Rate Zone Calculator Free | UsefulVerse</x:v>
      </x:c>
      <x:c r="C688" s="18" t="str">
        <x:v>tools.usefulverse.com</x:v>
      </x:c>
      <x:c r="D688" s="18" t="str">
        <x:v>https://tools.usefulverse.com/tools/heart-rate-zone-calculator/</x:v>
      </x:c>
      <x:c r="E688" s="22" t="n">
        <x:v>36</x:v>
      </x:c>
      <x:c r="F688" s="18" t="str">
        <x:v>NO: recuperar</x:v>
      </x:c>
      <x:c r="G688" s="18" t="str">
        <x:v>Free heart rate zones by age or Karvonen. Set a measured maximum and custom cutoffs; see bpm ranges.</x:v>
      </x:c>
      <x:c r="H688" s="18" t="str">
        <x:v>Sitemap + metadatos de página pública</x:v>
      </x:c>
    </x:row>
    <x:row r="689" ht="48" customHeight="1">
      <x:c r="A689" s="18" t="str">
        <x:v>ideal-weight-calculator</x:v>
      </x:c>
      <x:c r="B689" s="18" t="str">
        <x:v>Ideal Weight Calculator Free | UsefulVerse</x:v>
      </x:c>
      <x:c r="C689" s="18" t="str">
        <x:v>tools.usefulverse.com</x:v>
      </x:c>
      <x:c r="D689" s="18" t="str">
        <x:v>https://tools.usefulverse.com/tools/ideal-weight-calculator/</x:v>
      </x:c>
      <x:c r="E689" s="22" t="n">
        <x:v>36</x:v>
      </x:c>
      <x:c r="F689" s="18" t="str">
        <x:v>NO: recuperar</x:v>
      </x:c>
      <x:c r="G689" s="18" t="str">
        <x:v>Compare four historical weight equations and an adult BMI reference range by height. Free, private, and calculated in your browser.</x:v>
      </x:c>
      <x:c r="H689" s="18" t="str">
        <x:v>Sitemap + metadatos de página pública</x:v>
      </x:c>
    </x:row>
    <x:row r="690" ht="48" customHeight="1">
      <x:c r="A690" s="18" t="str">
        <x:v>eisenhower-matrix</x:v>
      </x:c>
      <x:c r="B690" s="18" t="str">
        <x:v>Eisenhower Matrix Free Online | UsefulVerse</x:v>
      </x:c>
      <x:c r="C690" s="18" t="str">
        <x:v>tools.usefulverse.com</x:v>
      </x:c>
      <x:c r="D690" s="18" t="str">
        <x:v>https://tools.usefulverse.com/tools/eisenhower-matrix/</x:v>
      </x:c>
      <x:c r="E690" s="22" t="n">
        <x:v>36</x:v>
      </x:c>
      <x:c r="F690" s="18" t="str">
        <x:v>NO: recuperar</x:v>
      </x:c>
      <x:c r="G690" s="18" t="str">
        <x:v>Sort tasks in a free Eisenhower Matrix. Set importance, urgency and due dates; move, complete, print or back up tasks privately.</x:v>
      </x:c>
      <x:c r="H690" s="18" t="str">
        <x:v>Sitemap + metadatos de página pública</x:v>
      </x:c>
    </x:row>
    <x:row r="691" ht="48" customHeight="1">
      <x:c r="A691" s="18" t="str">
        <x:v>social-security-calculator</x:v>
      </x:c>
      <x:c r="B691" s="18" t="str">
        <x:v>Social Security Calculator Free | UsefulVerse</x:v>
      </x:c>
      <x:c r="C691" s="18" t="str">
        <x:v>tools.usefulverse.com</x:v>
      </x:c>
      <x:c r="D691" s="18" t="str">
        <x:v>https://tools.usefulverse.com/tools/social-security-calculator/</x:v>
      </x:c>
      <x:c r="E691" s="22" t="n">
        <x:v>36</x:v>
      </x:c>
      <x:c r="F691" s="18" t="str">
        <x:v>NO: recuperar</x:v>
      </x:c>
      <x:c r="G691" s="18" t="str">
        <x:v>Estimate a US Social Security retirement benefit from AIME with 2025–2026 SSA bend points. Free, private and local.</x:v>
      </x:c>
      <x:c r="H691" s="18" t="str">
        <x:v>Sitemap + metadatos de página pública</x:v>
      </x:c>
    </x:row>
    <x:row r="692" ht="48" customHeight="1">
      <x:c r="A692" s="18" t="str">
        <x:v>word-puzzle-solver</x:v>
      </x:c>
      <x:c r="B692" s="18" t="str">
        <x:v>Word Finder &amp; Anagram Solver Free | UsefulVerse</x:v>
      </x:c>
      <x:c r="C692" s="18" t="str">
        <x:v>tools.usefulverse.com</x:v>
      </x:c>
      <x:c r="D692" s="18" t="str">
        <x:v>https://tools.usefulverse.com/tools/word-puzzle-solver/</x:v>
      </x:c>
      <x:c r="E692" s="22" t="n">
        <x:v>36</x:v>
      </x:c>
      <x:c r="F692" s="18" t="str">
        <x:v>NO: recuperar</x:v>
      </x:c>
      <x:c r="G692" s="18" t="str">
        <x:v>Find anagrams and crossword-pattern words with letter filters. Use a small local word list or paste your own. Free, private and no sign-up.</x:v>
      </x:c>
      <x:c r="H692" s="18" t="str">
        <x:v>Sitemap + metadatos de página pública</x:v>
      </x:c>
    </x:row>
    <x:row r="693" ht="48" customHeight="1">
      <x:c r="A693" s="18" t="str">
        <x:v>ludo-game</x:v>
      </x:c>
      <x:c r="B693" s="18" t="str">
        <x:v>Ludo Game Online Free | Play vs Computer | UsefulVerse</x:v>
      </x:c>
      <x:c r="C693" s="18" t="str">
        <x:v>tools.usefulverse.com</x:v>
      </x:c>
      <x:c r="D693" s="18" t="str">
        <x:v>https://tools.usefulverse.com/tools/ludo-game/</x:v>
      </x:c>
      <x:c r="E693" s="22" t="n">
        <x:v>36</x:v>
      </x:c>
      <x:c r="F693" s="18" t="str">
        <x:v>NO: recuperar</x:v>
      </x:c>
      <x:c r="G693" s="18" t="str">
        <x:v>Play Ludo online for free: roll, move four tokens, capture on unsafe squares, and race home against local bots or pass-and-play. No sign-up.</x:v>
      </x:c>
      <x:c r="H693" s="18" t="str">
        <x:v>Sitemap + metadatos de página pública</x:v>
      </x:c>
    </x:row>
    <x:row r="694" ht="48" customHeight="1">
      <x:c r="A694" s="18" t="str">
        <x:v>memory-test</x:v>
      </x:c>
      <x:c r="B694" s="18" t="str">
        <x:v>Memory Test Online Free | UsefulVerse</x:v>
      </x:c>
      <x:c r="C694" s="18" t="str">
        <x:v>tools.usefulverse.com</x:v>
      </x:c>
      <x:c r="D694" s="18" t="str">
        <x:v>https://tools.usefulverse.com/tools/memory-test/</x:v>
      </x:c>
      <x:c r="E694" s="22" t="n">
        <x:v>36</x:v>
      </x:c>
      <x:c r="F694" s="18" t="str">
        <x:v>NO: recuperar</x:v>
      </x:c>
      <x:c r="G694" s="18" t="str">
        <x:v>Try a free memory test with digit-span and visual sequence rounds. Difficulty grows after correct answers; no account or IQ claims.</x:v>
      </x:c>
      <x:c r="H694" s="18" t="str">
        <x:v>Sitemap + metadatos de página pública</x:v>
      </x:c>
    </x:row>
    <x:row r="695" ht="48" customHeight="1">
      <x:c r="A695" s="18" t="str">
        <x:v>fuel-economy-calculator</x:v>
      </x:c>
      <x:c r="B695" s="18" t="str">
        <x:v>Fuel Economy Calculator Free | UsefulVerse</x:v>
      </x:c>
      <x:c r="C695" s="18" t="str">
        <x:v>tools.usefulverse.com</x:v>
      </x:c>
      <x:c r="D695" s="18" t="str">
        <x:v>https://tools.usefulverse.com/tools/fuel-economy-calculator/</x:v>
      </x:c>
      <x:c r="E695" s="22" t="n">
        <x:v>36</x:v>
      </x:c>
      <x:c r="F695" s="18" t="str">
        <x:v>NO: recuperar</x:v>
      </x:c>
      <x:c r="G695" s="18" t="str">
        <x:v>Measure real fuel economy in L/100 km, km/L or MPG. Log full-to-full refills, track cost per distance and export a CSV.</x:v>
      </x:c>
      <x:c r="H695" s="18" t="str">
        <x:v>Sitemap + metadatos de página pública</x:v>
      </x:c>
    </x:row>
    <x:row r="696" ht="48" customHeight="1">
      <x:c r="A696" s="18" t="str">
        <x:v>timeline-maker</x:v>
      </x:c>
      <x:c r="B696" s="18" t="str">
        <x:v>Timeline Maker Free | UsefulVerse</x:v>
      </x:c>
      <x:c r="C696" s="18" t="str">
        <x:v>tools.usefulverse.com</x:v>
      </x:c>
      <x:c r="D696" s="18" t="str">
        <x:v>https://tools.usefulverse.com/tools/timeline-maker/</x:v>
      </x:c>
      <x:c r="E696" s="22" t="n">
        <x:v>36</x:v>
      </x:c>
      <x:c r="F696" s="18" t="str">
        <x:v>NO: recuperar</x:v>
      </x:c>
      <x:c r="G696" s="18" t="str">
        <x:v>Make an event timeline from dates and ranges. Sort events, zoom in, and download a free SVG or CSV locally.</x:v>
      </x:c>
      <x:c r="H696" s="18" t="str">
        <x:v>Sitemap + metadatos de página pública</x:v>
      </x:c>
    </x:row>
    <x:row r="697" ht="48" customHeight="1">
      <x:c r="A697" s="18" t="str">
        <x:v>crossword-online</x:v>
      </x:c>
      <x:c r="B697" s="18" t="str">
        <x:v>Free Crossword Online | Play Word Puzzles | UsefulVerse</x:v>
      </x:c>
      <x:c r="C697" s="18" t="str">
        <x:v>tools.usefulverse.com</x:v>
      </x:c>
      <x:c r="D697" s="18" t="str">
        <x:v>https://tools.usefulverse.com/tools/crossword-online/</x:v>
      </x:c>
      <x:c r="E697" s="22" t="n">
        <x:v>36</x:v>
      </x:c>
      <x:c r="F697" s="18" t="str">
        <x:v>NO: recuperar</x:v>
      </x:c>
      <x:c r="G697" s="18" t="str">
        <x:v>Play an original crossword puzzle online. Fill across and down clues, check answers, use hints, and start a fresh locally generated board.</x:v>
      </x:c>
      <x:c r="H697" s="18" t="str">
        <x:v>Sitemap + metadatos de página pública</x:v>
      </x:c>
    </x:row>
    <x:row r="698" ht="48" customHeight="1">
      <x:c r="A698" s="18" t="str">
        <x:v>extract-images-from-pdf</x:v>
      </x:c>
      <x:c r="B698" s="18" t="str">
        <x:v>Extract Images from PDF Free | UsefulVerse</x:v>
      </x:c>
      <x:c r="C698" s="18" t="str">
        <x:v>tools.usefulverse.com</x:v>
      </x:c>
      <x:c r="D698" s="18" t="str">
        <x:v>https://tools.usefulverse.com/tools/extract-images-from-pdf/</x:v>
      </x:c>
      <x:c r="E698" s="22" t="n">
        <x:v>36</x:v>
      </x:c>
      <x:c r="F698" s="18" t="str">
        <x:v>NO: recuperar</x:v>
      </x:c>
      <x:c r="G698" s="18" t="str">
        <x:v>Extract embedded PDF image objects as PNG files at decoded image size. Preview and download individually or together as a ZIP, locally.</x:v>
      </x:c>
      <x:c r="H698" s="18" t="str">
        <x:v>Sitemap + metadatos de página pública</x:v>
      </x:c>
    </x:row>
    <x:row r="699" ht="48" customHeight="1">
      <x:c r="A699" s="18" t="str">
        <x:v>business-letter-generator</x:v>
      </x:c>
      <x:c r="B699" s="18" t="str">
        <x:v>Business Letter Generator Free | UsefulVerse</x:v>
      </x:c>
      <x:c r="C699" s="18" t="str">
        <x:v>tools.usefulverse.com</x:v>
      </x:c>
      <x:c r="D699" s="18" t="str">
        <x:v>https://tools.usefulverse.com/tools/business-letter-generator/</x:v>
      </x:c>
      <x:c r="E699" s="22" t="n">
        <x:v>36</x:v>
      </x:c>
      <x:c r="F699" s="18" t="str">
        <x:v>NO: recuperar</x:v>
      </x:c>
      <x:c r="G699" s="18" t="str">
        <x:v>Create a free formal business letter with a clear layout. Edit, preview, copy, download, or print on A4 or Letter paper.</x:v>
      </x:c>
      <x:c r="H699" s="18" t="str">
        <x:v>Sitemap + metadatos de página pública</x:v>
      </x:c>
    </x:row>
    <x:row r="700" ht="48" customHeight="1">
      <x:c r="A700" s="18" t="str">
        <x:v>markdown-table-generator</x:v>
      </x:c>
      <x:c r="B700" s="18" t="str">
        <x:v>Markdown Table Generator Free | UsefulVerse</x:v>
      </x:c>
      <x:c r="C700" s="18" t="str">
        <x:v>tools.usefulverse.com</x:v>
      </x:c>
      <x:c r="D700" s="18" t="str">
        <x:v>https://tools.usefulverse.com/tools/markdown-table-generator/</x:v>
      </x:c>
      <x:c r="E700" s="22" t="n">
        <x:v>36</x:v>
      </x:c>
      <x:c r="F700" s="18" t="str">
        <x:v>NO: recuperar</x:v>
      </x:c>
      <x:c r="G700" s="18" t="str">
        <x:v>Build Markdown tables online. Edit cells, align columns, import CSV or TSV, escape pipes, and copy the finished Markdown.</x:v>
      </x:c>
      <x:c r="H700" s="18" t="str">
        <x:v>Sitemap + metadatos de página pública</x:v>
      </x:c>
    </x:row>
    <x:row r="701" ht="48" customHeight="1">
      <x:c r="A701" s="18" t="str">
        <x:v>pdf-accessibility-checker</x:v>
      </x:c>
      <x:c r="B701" s="18" t="str">
        <x:v>PDF Accessibility Checker Free | UsefulVerse</x:v>
      </x:c>
      <x:c r="C701" s="18" t="str">
        <x:v>tools.usefulverse.com</x:v>
      </x:c>
      <x:c r="D701" s="18" t="str">
        <x:v>https://tools.usefulverse.com/tools/pdf-accessibility-checker/</x:v>
      </x:c>
      <x:c r="E701" s="22" t="n">
        <x:v>36</x:v>
      </x:c>
      <x:c r="F701" s="18" t="str">
        <x:v>NO: recuperar</x:v>
      </x:c>
      <x:c r="G701" s="18" t="str">
        <x:v>Check a PDF for basic accessibility signals: tags, title, language, selectable text, figures without alt text, and heading order.</x:v>
      </x:c>
      <x:c r="H701" s="18" t="str">
        <x:v>Sitemap + metadatos de página pública</x:v>
      </x:c>
    </x:row>
    <x:row r="702" ht="48" customHeight="1">
      <x:c r="A702" s="18" t="str">
        <x:v>docx-editor</x:v>
      </x:c>
      <x:c r="B702" s="18" t="str">
        <x:v>Edit DOCX Online Free | UsefulVerse</x:v>
      </x:c>
      <x:c r="C702" s="18" t="str">
        <x:v>tools.usefulverse.com</x:v>
      </x:c>
      <x:c r="D702" s="18" t="str">
        <x:v>https://tools.usefulverse.com/tools/docx-editor/</x:v>
      </x:c>
      <x:c r="E702" s="22" t="n">
        <x:v>36</x:v>
      </x:c>
      <x:c r="F702" s="18" t="str">
        <x:v>NO: recuperar</x:v>
      </x:c>
      <x:c r="G702" s="18" t="str">
        <x:v>Edit text in a modern DOCX document on your device, keep other package parts, preview changes, and download a new Word file.</x:v>
      </x:c>
      <x:c r="H702" s="18" t="str">
        <x:v>Sitemap + metadatos de página pública</x:v>
      </x:c>
    </x:row>
    <x:row r="703" ht="48" customHeight="1">
      <x:c r="A703" s="18" t="str">
        <x:v>vcard-generator</x:v>
      </x:c>
      <x:c r="B703" s="18" t="str">
        <x:v>VCard Generator Free | UsefulVerse</x:v>
      </x:c>
      <x:c r="C703" s="18" t="str">
        <x:v>tools.usefulverse.com</x:v>
      </x:c>
      <x:c r="D703" s="18" t="str">
        <x:v>https://tools.usefulverse.com/tools/vcard-generator/</x:v>
      </x:c>
      <x:c r="E703" s="22" t="n">
        <x:v>36</x:v>
      </x:c>
      <x:c r="F703" s="18" t="str">
        <x:v>NO: recuperar</x:v>
      </x:c>
      <x:c r="G703" s="18" t="str">
        <x:v>Create a vCard 3.0 or 4.0 contact file with escaped Unicode text and optional photo. Preview, copy or download it locally.</x:v>
      </x:c>
      <x:c r="H703" s="18" t="str">
        <x:v>Sitemap + metadatos de página pública</x:v>
      </x:c>
    </x:row>
    <x:row r="704" ht="48" customHeight="1">
      <x:c r="A704" s="18" t="str">
        <x:v>meeting-planner</x:v>
      </x:c>
      <x:c r="B704" s="18" t="str">
        <x:v>Meeting Planner: Free Time Zone Scheduler | UsefulVerse</x:v>
      </x:c>
      <x:c r="C704" s="18" t="str">
        <x:v>tools.usefulverse.com</x:v>
      </x:c>
      <x:c r="D704" s="18" t="str">
        <x:v>https://tools.usefulverse.com/tools/meeting-planner/</x:v>
      </x:c>
      <x:c r="E704" s="22" t="n">
        <x:v>36</x:v>
      </x:c>
      <x:c r="F704" s="18" t="str">
        <x:v>NO: recuperar</x:v>
      </x:c>
      <x:c r="G704" s="18" t="str">
        <x:v>Find shared meeting times across time zones, including daylight-saving changes and overnight hours. Download a local ICS invite.</x:v>
      </x:c>
      <x:c r="H704" s="18" t="str">
        <x:v>Sitemap + metadatos de página pública</x:v>
      </x:c>
    </x:row>
    <x:row r="705" ht="48" customHeight="1">
      <x:c r="A705" s="18" t="str">
        <x:v>moon-phase-calculator</x:v>
      </x:c>
      <x:c r="B705" s="18" t="str">
        <x:v>Moon Phase Calculator: Free Lunar Calendar | UsefulVerse</x:v>
      </x:c>
      <x:c r="C705" s="18" t="str">
        <x:v>tools.usefulverse.com</x:v>
      </x:c>
      <x:c r="D705" s="18" t="str">
        <x:v>https://tools.usefulverse.com/tools/moon-phase-calculator/</x:v>
      </x:c>
      <x:c r="E705" s="22" t="n">
        <x:v>36</x:v>
      </x:c>
      <x:c r="F705" s="18" t="str">
        <x:v>NO: recuperar</x:v>
      </x:c>
      <x:c r="G705" s="18" t="str">
        <x:v>Estimate the Moon phase, illuminated fraction and primary phase dates for a month. Free calculation in your browser, with no account.</x:v>
      </x:c>
      <x:c r="H705" s="18" t="str">
        <x:v>Sitemap + metadatos de página pública</x:v>
      </x:c>
    </x:row>
    <x:row r="706" ht="48" customHeight="1">
      <x:c r="A706" s="18" t="str">
        <x:v>vcard-converter</x:v>
      </x:c>
      <x:c r="B706" s="18" t="str">
        <x:v>VCF to CSV Converter Free | UsefulVerse</x:v>
      </x:c>
      <x:c r="C706" s="18" t="str">
        <x:v>tools.usefulverse.com</x:v>
      </x:c>
      <x:c r="D706" s="18" t="str">
        <x:v>https://tools.usefulverse.com/tools/vcard-converter/</x:v>
      </x:c>
      <x:c r="E706" s="22" t="n">
        <x:v>36</x:v>
      </x:c>
      <x:c r="F706" s="18" t="str">
        <x:v>NO: recuperar</x:v>
      </x:c>
      <x:c r="G706" s="18" t="str">
        <x:v>Convert multiple VCF contacts to CSV in your browser. Choose columns; no upload and no changes to your contact book.</x:v>
      </x:c>
      <x:c r="H706" s="18" t="str">
        <x:v>Sitemap + metadatos de página pública</x:v>
      </x:c>
    </x:row>
  </x:sheetData>
  <x:conditionalFormatting sqref="F7:F706">
    <x:cfRule type="containsText" dxfId="3" priority="1" operator="containsText" text="NO:"/>
  </x:conditionalFormatting>
  <x:pageMargins left="0.7" right="0.7" top="0.75" bottom="0.75" header="0.3" footer="0.3"/>
  <x:tableParts count="1">
    <x:tablePart xmlns:r="http://schemas.openxmlformats.org/officeDocument/2006/relationships" r:id="R4eb68548ea0a4fe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2" hidden="0" customWidth="1"/>
    <x:col min="2" max="2" width="44" hidden="0" customWidth="1"/>
    <x:col min="3" max="3" width="16" hidden="0" customWidth="1"/>
    <x:col min="4" max="4" width="20" hidden="0" customWidth="1"/>
    <x:col min="5" max="5" width="28" hidden="0" customWidth="1"/>
    <x:col min="6" max="6" width="37" hidden="0" customWidth="1"/>
    <x:col min="7" max="7" width="27" hidden="0" customWidth="1"/>
    <x:col min="8" max="8" width="45" hidden="0" customWidth="1"/>
    <x:col min="9" max="9" width="48" hidden="0" customWidth="1"/>
    <x:col min="10" max="10" width="2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7" customHeight="1">
      <x:c r="A2" s="3" t="str">
        <x:v>Mediciones de consultas vinculadas a candidatas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4"/>
      <x:c r="B3" s="4"/>
      <x:c r="C3" s="4"/>
      <x:c r="D3" s="4"/>
      <x:c r="E3" s="4"/>
      <x:c r="F3" s="4"/>
      <x:c r="G3" s="2"/>
      <x:c r="H3" s="2"/>
      <x:c r="I3" s="2"/>
      <x:c r="J3" s="2"/>
    </x:row>
    <x:row r="4" ht="22" customHeight="1">
      <x:c r="A4" s="9" t="str">
        <x:v>Estimaciones mensuales del proveedor. No sumar variantes; filas repetidas por candidata son trazabilidad, no demanda adicional.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2" customHeight="1">
      <x:c r="A6" s="14" t="str">
        <x:v>Herramienta candidata</x:v>
      </x:c>
      <x:c r="B6" s="15" t="str">
        <x:v>Consulta exacta devuelta</x:v>
      </x:c>
      <x:c r="C6" s="15" t="str">
        <x:v>Búsq./mes</x:v>
      </x:c>
      <x:c r="D6" s="15" t="str">
        <x:v>Principal elegida</x:v>
      </x:c>
      <x:c r="E6" s="15" t="str">
        <x:v>Periodo de la serie</x:v>
      </x:c>
      <x:c r="F6" s="15" t="str">
        <x:v>Alcance</x:v>
      </x:c>
      <x:c r="G6" s="15" t="str">
        <x:v>Endpoint</x:v>
      </x:c>
      <x:c r="H6" s="15" t="str">
        <x:v>Archivo de evidencia</x:v>
      </x:c>
      <x:c r="I6" s="15" t="str">
        <x:v>ID de tarea</x:v>
      </x:c>
      <x:c r="J6" s="16" t="str">
        <x:v>Socios de búsqueda</x:v>
      </x:c>
    </x:row>
    <x:row r="7" ht="34" customHeight="1">
      <x:c r="A7" s="18" t="str">
        <x:v>text-translator</x:v>
      </x:c>
      <x:c r="B7" s="18" t="str">
        <x:v>translator</x:v>
      </x:c>
      <x:c r="C7" s="19" t="n">
        <x:v>13600000</x:v>
      </x:c>
      <x:c r="D7" s="18" t="str">
        <x:v>No</x:v>
      </x:c>
      <x:c r="E7" s="18" t="str">
        <x:v>2025-10 / 2026-09</x:v>
      </x:c>
      <x:c r="F7" s="18" t="str">
        <x:v>Global · sin filtro de idioma</x:v>
      </x:c>
      <x:c r="G7" s="18" t="str">
        <x:v>search_volume</x:v>
      </x:c>
      <x:c r="H7" s="18" t="str">
        <x:v>global-initial-screen.json</x:v>
      </x:c>
      <x:c r="I7" s="18" t="str">
        <x:v>10181645-1949-0367-0000-721aab5cac1a</x:v>
      </x:c>
      <x:c r="J7" s="18" t="str">
        <x:v>No</x:v>
      </x:c>
    </x:row>
    <x:row r="8" ht="34" customHeight="1">
      <x:c r="A8" s="18" t="str">
        <x:v>text-translator</x:v>
      </x:c>
      <x:c r="B8" s="18" t="str">
        <x:v>traductor</x:v>
      </x:c>
      <x:c r="C8" s="19" t="n">
        <x:v>226000000</x:v>
      </x:c>
      <x:c r="D8" s="18" t="str">
        <x:v>Sí</x:v>
      </x:c>
      <x:c r="E8" s="18" t="str">
        <x:v>2025-10 / 2026-09</x:v>
      </x:c>
      <x:c r="F8" s="18" t="str">
        <x:v>Global · sin filtro de idioma</x:v>
      </x:c>
      <x:c r="G8" s="18" t="str">
        <x:v>keywords_for_keywords</x:v>
      </x:c>
      <x:c r="H8" s="18" t="str">
        <x:v>discovery-multilingual-west.json</x:v>
      </x:c>
      <x:c r="I8" s="18" t="str">
        <x:v>10181858-1949-0368-0000-9de5915b6644</x:v>
      </x:c>
      <x:c r="J8" s="18" t="str">
        <x:v>No</x:v>
      </x:c>
    </x:row>
    <x:row r="9" ht="34" customHeight="1">
      <x:c r="A9" s="18" t="str">
        <x:v>text-translator</x:v>
      </x:c>
      <x:c r="B9" s="18" t="str">
        <x:v>翻訳</x:v>
      </x:c>
      <x:c r="C9" s="19" t="n">
        <x:v>24900000</x:v>
      </x:c>
      <x:c r="D9" s="18" t="str">
        <x:v>No</x:v>
      </x:c>
      <x:c r="E9" s="18" t="str">
        <x:v>2025-10 / 2026-09</x:v>
      </x:c>
      <x:c r="F9" s="18" t="str">
        <x:v>Global · sin filtro de idioma</x:v>
      </x:c>
      <x:c r="G9" s="18" t="str">
        <x:v>keywords_for_keywords</x:v>
      </x:c>
      <x:c r="H9" s="18" t="str">
        <x:v>discovery-multilingual-asia.json</x:v>
      </x:c>
      <x:c r="I9" s="18" t="str">
        <x:v>10181858-1949-0368-0000-0204bec9b205</x:v>
      </x:c>
      <x:c r="J9" s="18" t="str">
        <x:v>No</x:v>
      </x:c>
    </x:row>
    <x:row r="10" ht="34" customHeight="1">
      <x:c r="A10" s="18" t="str">
        <x:v>text-translator</x:v>
      </x:c>
      <x:c r="B10" s="18" t="str">
        <x:v>翻译</x:v>
      </x:c>
      <x:c r="C10" s="19" t="n">
        <x:v>20400000</x:v>
      </x:c>
      <x:c r="D10" s="18" t="str">
        <x:v>No</x:v>
      </x:c>
      <x:c r="E10" s="18" t="str">
        <x:v>2025-10 / 2026-09</x:v>
      </x:c>
      <x:c r="F10" s="18" t="str">
        <x:v>Global · sin filtro de idioma</x:v>
      </x:c>
      <x:c r="G10" s="18" t="str">
        <x:v>keywords_for_keywords</x:v>
      </x:c>
      <x:c r="H10" s="18" t="str">
        <x:v>discovery-multilingual-asia.json</x:v>
      </x:c>
      <x:c r="I10" s="18" t="str">
        <x:v>10181858-1949-0368-0000-0204bec9b205</x:v>
      </x:c>
      <x:c r="J10" s="18" t="str">
        <x:v>No</x:v>
      </x:c>
    </x:row>
    <x:row r="11" ht="34" customHeight="1">
      <x:c r="A11" s="18" t="str">
        <x:v>text-translator</x:v>
      </x:c>
      <x:c r="B11" s="18" t="str">
        <x:v>번역기</x:v>
      </x:c>
      <x:c r="C11" s="19" t="n">
        <x:v>5000000</x:v>
      </x:c>
      <x:c r="D11" s="18" t="str">
        <x:v>No</x:v>
      </x:c>
      <x:c r="E11" s="18" t="str">
        <x:v>2025-10 / 2026-09</x:v>
      </x:c>
      <x:c r="F11" s="18" t="str">
        <x:v>Global · sin filtro de idioma</x:v>
      </x:c>
      <x:c r="G11" s="18" t="str">
        <x:v>keywords_for_keywords</x:v>
      </x:c>
      <x:c r="H11" s="18" t="str">
        <x:v>discovery-multilingual-asia.json</x:v>
      </x:c>
      <x:c r="I11" s="18" t="str">
        <x:v>10181858-1949-0368-0000-0204bec9b205</x:v>
      </x:c>
      <x:c r="J11" s="18" t="str">
        <x:v>No</x:v>
      </x:c>
    </x:row>
    <x:row r="12" ht="34" customHeight="1">
      <x:c r="A12" s="18" t="str">
        <x:v>grammar-checker</x:v>
      </x:c>
      <x:c r="B12" s="18" t="str">
        <x:v>grammar checker</x:v>
      </x:c>
      <x:c r="C12" s="19" t="n">
        <x:v>3350000</x:v>
      </x:c>
      <x:c r="D12" s="18" t="str">
        <x:v>Sí</x:v>
      </x:c>
      <x:c r="E12" s="18" t="str">
        <x:v>2025-10 / 2026-09</x:v>
      </x:c>
      <x:c r="F12" s="18" t="str">
        <x:v>Global · sin filtro de idioma</x:v>
      </x:c>
      <x:c r="G12" s="18" t="str">
        <x:v>search_volume</x:v>
      </x:c>
      <x:c r="H12" s="18" t="str">
        <x:v>global-initial-screen.json</x:v>
      </x:c>
      <x:c r="I12" s="18" t="str">
        <x:v>10181645-1949-0367-0000-721aab5cac1a</x:v>
      </x:c>
      <x:c r="J12" s="18" t="str">
        <x:v>No</x:v>
      </x:c>
    </x:row>
    <x:row r="13" ht="34" customHeight="1">
      <x:c r="A13" s="18" t="str">
        <x:v>grammar-checker</x:v>
      </x:c>
      <x:c r="B13" s="18" t="str">
        <x:v>correcteur grammatical</x:v>
      </x:c>
      <x:c r="C13" s="19" t="n">
        <x:v>720</x:v>
      </x:c>
      <x:c r="D13" s="18" t="str">
        <x:v>No</x:v>
      </x:c>
      <x:c r="E13" s="18" t="str">
        <x:v>2025-10 / 2026-09</x:v>
      </x:c>
      <x:c r="F13" s="18" t="str">
        <x:v>Global · sin filtro de idioma</x:v>
      </x:c>
      <x:c r="G13" s="18" t="str">
        <x:v>search_volume</x:v>
      </x:c>
      <x:c r="H13" s="18" t="str">
        <x:v>global-candidates.json</x:v>
      </x:c>
      <x:c r="I13" s="18" t="str">
        <x:v>10181909-1949-0367-0000-d6f424f63198</x:v>
      </x:c>
      <x:c r="J13" s="18" t="str">
        <x:v>No</x:v>
      </x:c>
    </x:row>
    <x:row r="14" ht="34" customHeight="1">
      <x:c r="A14" s="18" t="str">
        <x:v>grammar-checker</x:v>
      </x:c>
      <x:c r="B14" s="18" t="str">
        <x:v>corrector gramatical</x:v>
      </x:c>
      <x:c r="C14" s="19" t="n">
        <x:v>18100</x:v>
      </x:c>
      <x:c r="D14" s="18" t="str">
        <x:v>No</x:v>
      </x:c>
      <x:c r="E14" s="18" t="str">
        <x:v>2025-10 / 2026-09</x:v>
      </x:c>
      <x:c r="F14" s="18" t="str">
        <x:v>Global · sin filtro de idioma</x:v>
      </x:c>
      <x:c r="G14" s="18" t="str">
        <x:v>search_volume</x:v>
      </x:c>
      <x:c r="H14" s="18" t="str">
        <x:v>global-candidates.json</x:v>
      </x:c>
      <x:c r="I14" s="18" t="str">
        <x:v>10181909-1949-0367-0000-d6f424f63198</x:v>
      </x:c>
      <x:c r="J14" s="18" t="str">
        <x:v>No</x:v>
      </x:c>
    </x:row>
    <x:row r="15" ht="34" customHeight="1">
      <x:c r="A15" s="18" t="str">
        <x:v>paraphrasing-tool</x:v>
      </x:c>
      <x:c r="B15" s="18" t="str">
        <x:v>paraphrasing tool</x:v>
      </x:c>
      <x:c r="C15" s="19" t="n">
        <x:v>1000000</x:v>
      </x:c>
      <x:c r="D15" s="18" t="str">
        <x:v>Sí</x:v>
      </x:c>
      <x:c r="E15" s="18" t="str">
        <x:v>2025-10 / 2026-09</x:v>
      </x:c>
      <x:c r="F15" s="18" t="str">
        <x:v>Global · sin filtro de idioma</x:v>
      </x:c>
      <x:c r="G15" s="18" t="str">
        <x:v>search_volume</x:v>
      </x:c>
      <x:c r="H15" s="18" t="str">
        <x:v>global-initial-screen.json</x:v>
      </x:c>
      <x:c r="I15" s="18" t="str">
        <x:v>10181645-1949-0367-0000-721aab5cac1a</x:v>
      </x:c>
      <x:c r="J15" s="18" t="str">
        <x:v>No</x:v>
      </x:c>
    </x:row>
    <x:row r="16" ht="34" customHeight="1">
      <x:c r="A16" s="18" t="str">
        <x:v>paraphrasing-tool</x:v>
      </x:c>
      <x:c r="B16" s="18" t="str">
        <x:v>parafrasear</x:v>
      </x:c>
      <x:c r="C16" s="19" t="n">
        <x:v>301000</x:v>
      </x:c>
      <x:c r="D16" s="18" t="str">
        <x:v>No</x:v>
      </x:c>
      <x:c r="E16" s="18" t="str">
        <x:v>2025-10 / 2026-09</x:v>
      </x:c>
      <x:c r="F16" s="18" t="str">
        <x:v>Global · sin filtro de idioma</x:v>
      </x:c>
      <x:c r="G16" s="18" t="str">
        <x:v>search_volume</x:v>
      </x:c>
      <x:c r="H16" s="18" t="str">
        <x:v>global-candidates.json</x:v>
      </x:c>
      <x:c r="I16" s="18" t="str">
        <x:v>10181909-1949-0367-0000-d6f424f63198</x:v>
      </x:c>
      <x:c r="J16" s="18" t="str">
        <x:v>No</x:v>
      </x:c>
    </x:row>
    <x:row r="17" ht="34" customHeight="1">
      <x:c r="A17" s="18" t="str">
        <x:v>paraphrasing-tool</x:v>
      </x:c>
      <x:c r="B17" s="18" t="str">
        <x:v>paraphraser</x:v>
      </x:c>
      <x:c r="C17" s="19" t="n">
        <x:v>201000</x:v>
      </x:c>
      <x:c r="D17" s="18" t="str">
        <x:v>No</x:v>
      </x:c>
      <x:c r="E17" s="18" t="str">
        <x:v>2025-10 / 2026-09</x:v>
      </x:c>
      <x:c r="F17" s="18" t="str">
        <x:v>Global · sin filtro de idioma</x:v>
      </x:c>
      <x:c r="G17" s="18" t="str">
        <x:v>search_volume</x:v>
      </x:c>
      <x:c r="H17" s="18" t="str">
        <x:v>global-candidates.json</x:v>
      </x:c>
      <x:c r="I17" s="18" t="str">
        <x:v>10181909-1949-0367-0000-d6f424f63198</x:v>
      </x:c>
      <x:c r="J17" s="18" t="str">
        <x:v>No</x:v>
      </x:c>
    </x:row>
    <x:row r="18" ht="34" customHeight="1">
      <x:c r="A18" s="18" t="str">
        <x:v>dictionary</x:v>
      </x:c>
      <x:c r="B18" s="18" t="str">
        <x:v>dictionary</x:v>
      </x:c>
      <x:c r="C18" s="19" t="n">
        <x:v>3350000</x:v>
      </x:c>
      <x:c r="D18" s="18" t="str">
        <x:v>Sí</x:v>
      </x:c>
      <x:c r="E18" s="18" t="str">
        <x:v>2025-10 / 2026-09</x:v>
      </x:c>
      <x:c r="F18" s="18" t="str">
        <x:v>Global · sin filtro de idioma</x:v>
      </x:c>
      <x:c r="G18" s="18" t="str">
        <x:v>search_volume</x:v>
      </x:c>
      <x:c r="H18" s="18" t="str">
        <x:v>global-initial-screen.json</x:v>
      </x:c>
      <x:c r="I18" s="18" t="str">
        <x:v>10181645-1949-0367-0000-721aab5cac1a</x:v>
      </x:c>
      <x:c r="J18" s="18" t="str">
        <x:v>No</x:v>
      </x:c>
    </x:row>
    <x:row r="19" ht="34" customHeight="1">
      <x:c r="A19" s="18" t="str">
        <x:v>dictionary</x:v>
      </x:c>
      <x:c r="B19" s="18" t="str">
        <x:v>diccionario</x:v>
      </x:c>
      <x:c r="C19" s="19" t="n">
        <x:v>823000</x:v>
      </x:c>
      <x:c r="D19" s="18" t="str">
        <x:v>No</x:v>
      </x:c>
      <x:c r="E19" s="18" t="str">
        <x:v>2025-10 / 2026-09</x:v>
      </x:c>
      <x:c r="F19" s="18" t="str">
        <x:v>Global · sin filtro de idioma</x:v>
      </x:c>
      <x:c r="G19" s="18" t="str">
        <x:v>search_volume</x:v>
      </x:c>
      <x:c r="H19" s="18" t="str">
        <x:v>global-candidates.json</x:v>
      </x:c>
      <x:c r="I19" s="18" t="str">
        <x:v>10181909-1949-0367-0000-d6f424f63198</x:v>
      </x:c>
      <x:c r="J19" s="18" t="str">
        <x:v>No</x:v>
      </x:c>
    </x:row>
    <x:row r="20" ht="34" customHeight="1">
      <x:c r="A20" s="18" t="str">
        <x:v>dictionary</x:v>
      </x:c>
      <x:c r="B20" s="18" t="str">
        <x:v>dictionnaire</x:v>
      </x:c>
      <x:c r="C20" s="19" t="n">
        <x:v>201000</x:v>
      </x:c>
      <x:c r="D20" s="18" t="str">
        <x:v>No</x:v>
      </x:c>
      <x:c r="E20" s="18" t="str">
        <x:v>2025-10 / 2026-09</x:v>
      </x:c>
      <x:c r="F20" s="18" t="str">
        <x:v>Global · sin filtro de idioma</x:v>
      </x:c>
      <x:c r="G20" s="18" t="str">
        <x:v>search_volume</x:v>
      </x:c>
      <x:c r="H20" s="18" t="str">
        <x:v>global-candidates.json</x:v>
      </x:c>
      <x:c r="I20" s="18" t="str">
        <x:v>10181909-1949-0367-0000-d6f424f63198</x:v>
      </x:c>
      <x:c r="J20" s="18" t="str">
        <x:v>No</x:v>
      </x:c>
    </x:row>
    <x:row r="21" ht="34" customHeight="1">
      <x:c r="A21" s="18" t="str">
        <x:v>thesaurus</x:v>
      </x:c>
      <x:c r="B21" s="18" t="str">
        <x:v>thesaurus</x:v>
      </x:c>
      <x:c r="C21" s="19" t="n">
        <x:v>2740000</x:v>
      </x:c>
      <x:c r="D21" s="18" t="str">
        <x:v>Sí</x:v>
      </x:c>
      <x:c r="E21" s="18" t="str">
        <x:v>2025-10 / 2026-09</x:v>
      </x:c>
      <x:c r="F21" s="18" t="str">
        <x:v>Global · sin filtro de idioma</x:v>
      </x:c>
      <x:c r="G21" s="18" t="str">
        <x:v>search_volume</x:v>
      </x:c>
      <x:c r="H21" s="18" t="str">
        <x:v>global-initial-screen.json</x:v>
      </x:c>
      <x:c r="I21" s="18" t="str">
        <x:v>10181645-1949-0367-0000-721aab5cac1a</x:v>
      </x:c>
      <x:c r="J21" s="18" t="str">
        <x:v>No</x:v>
      </x:c>
    </x:row>
    <x:row r="22" ht="34" customHeight="1">
      <x:c r="A22" s="18" t="str">
        <x:v>thesaurus</x:v>
      </x:c>
      <x:c r="B22" s="18" t="str">
        <x:v>sinonimos</x:v>
      </x:c>
      <x:c r="C22" s="19" t="n">
        <x:v>1000000</x:v>
      </x:c>
      <x:c r="D22" s="18" t="str">
        <x:v>No</x:v>
      </x:c>
      <x:c r="E22" s="18" t="str">
        <x:v>2025-10 / 2026-09</x:v>
      </x:c>
      <x:c r="F22" s="18" t="str">
        <x:v>Global · sin filtro de idioma</x:v>
      </x:c>
      <x:c r="G22" s="18" t="str">
        <x:v>search_volume</x:v>
      </x:c>
      <x:c r="H22" s="18" t="str">
        <x:v>global-candidates.json</x:v>
      </x:c>
      <x:c r="I22" s="18" t="str">
        <x:v>10181909-1949-0367-0000-d6f424f63198</x:v>
      </x:c>
      <x:c r="J22" s="18" t="str">
        <x:v>No</x:v>
      </x:c>
    </x:row>
    <x:row r="23" ht="34" customHeight="1">
      <x:c r="A23" s="18" t="str">
        <x:v>thesaurus</x:v>
      </x:c>
      <x:c r="B23" s="18" t="str">
        <x:v>sinônimos</x:v>
      </x:c>
      <x:c r="C23" s="19" t="n">
        <x:v>1000000</x:v>
      </x:c>
      <x:c r="D23" s="18" t="str">
        <x:v>No</x:v>
      </x:c>
      <x:c r="E23" s="18" t="str">
        <x:v>2025-10 / 2026-09</x:v>
      </x:c>
      <x:c r="F23" s="18" t="str">
        <x:v>Global · sin filtro de idioma</x:v>
      </x:c>
      <x:c r="G23" s="18" t="str">
        <x:v>search_volume</x:v>
      </x:c>
      <x:c r="H23" s="18" t="str">
        <x:v>global-candidates.json</x:v>
      </x:c>
      <x:c r="I23" s="18" t="str">
        <x:v>10181909-1949-0367-0000-d6f424f63198</x:v>
      </x:c>
      <x:c r="J23" s="18" t="str">
        <x:v>No</x:v>
      </x:c>
    </x:row>
    <x:row r="24" ht="34" customHeight="1">
      <x:c r="A24" s="18" t="str">
        <x:v>thesaurus</x:v>
      </x:c>
      <x:c r="B24" s="18" t="str">
        <x:v>synonym finder</x:v>
      </x:c>
      <x:c r="C24" s="19" t="n">
        <x:v>9900</x:v>
      </x:c>
      <x:c r="D24" s="18" t="str">
        <x:v>No</x:v>
      </x:c>
      <x:c r="E24" s="18" t="str">
        <x:v>2025-10 / 2026-09</x:v>
      </x:c>
      <x:c r="F24" s="18" t="str">
        <x:v>Global · sin filtro de idioma</x:v>
      </x:c>
      <x:c r="G24" s="18" t="str">
        <x:v>search_volume</x:v>
      </x:c>
      <x:c r="H24" s="18" t="str">
        <x:v>global-initial-screen.json</x:v>
      </x:c>
      <x:c r="I24" s="18" t="str">
        <x:v>10181645-1949-0367-0000-721aab5cac1a</x:v>
      </x:c>
      <x:c r="J24" s="18" t="str">
        <x:v>No</x:v>
      </x:c>
    </x:row>
    <x:row r="25" ht="34" customHeight="1">
      <x:c r="A25" s="18" t="str">
        <x:v>ipa-transcriber</x:v>
      </x:c>
      <x:c r="B25" s="18" t="str">
        <x:v>ipa translator</x:v>
      </x:c>
      <x:c r="C25" s="19" t="n">
        <x:v>8100</x:v>
      </x:c>
      <x:c r="D25" s="18" t="str">
        <x:v>No</x:v>
      </x:c>
      <x:c r="E25" s="18" t="str">
        <x:v>2025-10 / 2026-09</x:v>
      </x:c>
      <x:c r="F25" s="18" t="str">
        <x:v>Global · sin filtro de idioma</x:v>
      </x:c>
      <x:c r="G25" s="18" t="str">
        <x:v>search_volume</x:v>
      </x:c>
      <x:c r="H25" s="18" t="str">
        <x:v>global-initial-screen.json</x:v>
      </x:c>
      <x:c r="I25" s="18" t="str">
        <x:v>10181645-1949-0367-0000-721aab5cac1a</x:v>
      </x:c>
      <x:c r="J25" s="18" t="str">
        <x:v>No</x:v>
      </x:c>
    </x:row>
    <x:row r="26" ht="34" customHeight="1">
      <x:c r="A26" s="18" t="str">
        <x:v>ipa-transcriber</x:v>
      </x:c>
      <x:c r="B26" s="18" t="str">
        <x:v>phonetic transcription</x:v>
      </x:c>
      <x:c r="C26" s="19" t="n">
        <x:v>18100</x:v>
      </x:c>
      <x:c r="D26" s="18" t="str">
        <x:v>Sí</x:v>
      </x:c>
      <x:c r="E26" s="18" t="str">
        <x:v>2025-10 / 2026-09</x:v>
      </x:c>
      <x:c r="F26" s="18" t="str">
        <x:v>Global · sin filtro de idioma</x:v>
      </x:c>
      <x:c r="G26" s="18" t="str">
        <x:v>search_volume</x:v>
      </x:c>
      <x:c r="H26" s="18" t="str">
        <x:v>global-candidates.json</x:v>
      </x:c>
      <x:c r="I26" s="18" t="str">
        <x:v>10181909-1949-0367-0000-d6f424f63198</x:v>
      </x:c>
      <x:c r="J26" s="18" t="str">
        <x:v>No</x:v>
      </x:c>
    </x:row>
    <x:row r="27" ht="34" customHeight="1">
      <x:c r="A27" s="18" t="str">
        <x:v>ipa-transcriber</x:v>
      </x:c>
      <x:c r="B27" s="18" t="str">
        <x:v>transcripción fonética</x:v>
      </x:c>
      <x:c r="C27" s="19" t="n">
        <x:v>1300</x:v>
      </x:c>
      <x:c r="D27" s="18" t="str">
        <x:v>No</x:v>
      </x:c>
      <x:c r="E27" s="18" t="str">
        <x:v>2025-10 / 2026-09</x:v>
      </x:c>
      <x:c r="F27" s="18" t="str">
        <x:v>Global · sin filtro de idioma</x:v>
      </x:c>
      <x:c r="G27" s="18" t="str">
        <x:v>search_volume</x:v>
      </x:c>
      <x:c r="H27" s="18" t="str">
        <x:v>global-candidates.json</x:v>
      </x:c>
      <x:c r="I27" s="18" t="str">
        <x:v>10181909-1949-0367-0000-d6f424f63198</x:v>
      </x:c>
      <x:c r="J27" s="18" t="str">
        <x:v>No</x:v>
      </x:c>
    </x:row>
    <x:row r="28" ht="34" customHeight="1">
      <x:c r="A28" s="18" t="str">
        <x:v>transliteration-tool</x:v>
      </x:c>
      <x:c r="B28" s="18" t="str">
        <x:v>transliteration</x:v>
      </x:c>
      <x:c r="C28" s="19" t="n">
        <x:v>49500</x:v>
      </x:c>
      <x:c r="D28" s="18" t="str">
        <x:v>Sí</x:v>
      </x:c>
      <x:c r="E28" s="18" t="str">
        <x:v>2025-10 / 2026-09</x:v>
      </x:c>
      <x:c r="F28" s="18" t="str">
        <x:v>Global · sin filtro de idioma</x:v>
      </x:c>
      <x:c r="G28" s="18" t="str">
        <x:v>search_volume</x:v>
      </x:c>
      <x:c r="H28" s="18" t="str">
        <x:v>global-candidates.json</x:v>
      </x:c>
      <x:c r="I28" s="18" t="str">
        <x:v>10181909-1949-0367-0000-d6f424f63198</x:v>
      </x:c>
      <x:c r="J28" s="18" t="str">
        <x:v>No</x:v>
      </x:c>
    </x:row>
    <x:row r="29" ht="34" customHeight="1">
      <x:c r="A29" s="18" t="str">
        <x:v>transliteration-tool</x:v>
      </x:c>
      <x:c r="B29" s="18" t="str">
        <x:v>транслитерация</x:v>
      </x:c>
      <x:c r="C29" s="19" t="n">
        <x:v>22200</x:v>
      </x:c>
      <x:c r="D29" s="18" t="str">
        <x:v>No</x:v>
      </x:c>
      <x:c r="E29" s="18" t="str">
        <x:v>2025-10 / 2026-09</x:v>
      </x:c>
      <x:c r="F29" s="18" t="str">
        <x:v>Global · sin filtro de idioma</x:v>
      </x:c>
      <x:c r="G29" s="18" t="str">
        <x:v>search_volume</x:v>
      </x:c>
      <x:c r="H29" s="18" t="str">
        <x:v>global-candidates.json</x:v>
      </x:c>
      <x:c r="I29" s="18" t="str">
        <x:v>10181909-1949-0367-0000-d6f424f63198</x:v>
      </x:c>
      <x:c r="J29" s="18" t="str">
        <x:v>No</x:v>
      </x:c>
    </x:row>
    <x:row r="30" ht="34" customHeight="1">
      <x:c r="A30" s="18" t="str">
        <x:v>transliteration-tool</x:v>
      </x:c>
      <x:c r="B30" s="18" t="str">
        <x:v>transliterador</x:v>
      </x:c>
      <x:c r="C30" s="19" t="n">
        <x:v>40</x:v>
      </x:c>
      <x:c r="D30" s="18" t="str">
        <x:v>No</x:v>
      </x:c>
      <x:c r="E30" s="18" t="str">
        <x:v>2025-10 / 2026-09</x:v>
      </x:c>
      <x:c r="F30" s="18" t="str">
        <x:v>Global · sin filtro de idioma</x:v>
      </x:c>
      <x:c r="G30" s="18" t="str">
        <x:v>search_volume</x:v>
      </x:c>
      <x:c r="H30" s="18" t="str">
        <x:v>global-candidates.json</x:v>
      </x:c>
      <x:c r="I30" s="18" t="str">
        <x:v>10181909-1949-0367-0000-d6f424f63198</x:v>
      </x:c>
      <x:c r="J30" s="18" t="str">
        <x:v>No</x:v>
      </x:c>
    </x:row>
    <x:row r="31" ht="34" customHeight="1">
      <x:c r="A31" s="18" t="str">
        <x:v>virtual-keyboard</x:v>
      </x:c>
      <x:c r="B31" s="18" t="str">
        <x:v>arabic keyboard</x:v>
      </x:c>
      <x:c r="C31" s="19" t="n">
        <x:v>246000</x:v>
      </x:c>
      <x:c r="D31" s="18" t="str">
        <x:v>No</x:v>
      </x:c>
      <x:c r="E31" s="18" t="str">
        <x:v>2025-10 / 2026-09</x:v>
      </x:c>
      <x:c r="F31" s="18" t="str">
        <x:v>Global · sin filtro de idioma</x:v>
      </x:c>
      <x:c r="G31" s="18" t="str">
        <x:v>search_volume</x:v>
      </x:c>
      <x:c r="H31" s="18" t="str">
        <x:v>global-initial-screen.json</x:v>
      </x:c>
      <x:c r="I31" s="18" t="str">
        <x:v>10181645-1949-0367-0000-721aab5cac1a</x:v>
      </x:c>
      <x:c r="J31" s="18" t="str">
        <x:v>No</x:v>
      </x:c>
    </x:row>
    <x:row r="32" ht="34" customHeight="1">
      <x:c r="A32" s="18" t="str">
        <x:v>virtual-keyboard</x:v>
      </x:c>
      <x:c r="B32" s="18" t="str">
        <x:v>hindi typing</x:v>
      </x:c>
      <x:c r="C32" s="19" t="n">
        <x:v>450000</x:v>
      </x:c>
      <x:c r="D32" s="18" t="str">
        <x:v>Sí</x:v>
      </x:c>
      <x:c r="E32" s="18" t="str">
        <x:v>2025-10 / 2026-09</x:v>
      </x:c>
      <x:c r="F32" s="18" t="str">
        <x:v>Global · sin filtro de idioma</x:v>
      </x:c>
      <x:c r="G32" s="18" t="str">
        <x:v>search_volume</x:v>
      </x:c>
      <x:c r="H32" s="18" t="str">
        <x:v>global-initial-screen.json</x:v>
      </x:c>
      <x:c r="I32" s="18" t="str">
        <x:v>10181645-1949-0367-0000-721aab5cac1a</x:v>
      </x:c>
      <x:c r="J32" s="18" t="str">
        <x:v>No</x:v>
      </x:c>
    </x:row>
    <x:row r="33" ht="34" customHeight="1">
      <x:c r="A33" s="18" t="str">
        <x:v>virtual-keyboard</x:v>
      </x:c>
      <x:c r="B33" s="18" t="str">
        <x:v>русская клавиатура</x:v>
      </x:c>
      <x:c r="C33" s="19" t="n">
        <x:v>14800</x:v>
      </x:c>
      <x:c r="D33" s="18" t="str">
        <x:v>No</x:v>
      </x:c>
      <x:c r="E33" s="18" t="str">
        <x:v>2025-10 / 2026-09</x:v>
      </x:c>
      <x:c r="F33" s="18" t="str">
        <x:v>Global · sin filtro de idioma</x:v>
      </x:c>
      <x:c r="G33" s="18" t="str">
        <x:v>search_volume</x:v>
      </x:c>
      <x:c r="H33" s="18" t="str">
        <x:v>global-candidates.json</x:v>
      </x:c>
      <x:c r="I33" s="18" t="str">
        <x:v>10181909-1949-0367-0000-d6f424f63198</x:v>
      </x:c>
      <x:c r="J33" s="18" t="str">
        <x:v>No</x:v>
      </x:c>
    </x:row>
    <x:row r="34" ht="34" customHeight="1">
      <x:c r="A34" s="18" t="str">
        <x:v>virtual-keyboard</x:v>
      </x:c>
      <x:c r="B34" s="18" t="str">
        <x:v>chinese keyboard</x:v>
      </x:c>
      <x:c r="C34" s="19" t="n">
        <x:v>33100</x:v>
      </x:c>
      <x:c r="D34" s="18" t="str">
        <x:v>No</x:v>
      </x:c>
      <x:c r="E34" s="18" t="str">
        <x:v>2025-10 / 2026-09</x:v>
      </x:c>
      <x:c r="F34" s="18" t="str">
        <x:v>Global · sin filtro de idioma</x:v>
      </x:c>
      <x:c r="G34" s="18" t="str">
        <x:v>search_volume</x:v>
      </x:c>
      <x:c r="H34" s="18" t="str">
        <x:v>global-candidates.json</x:v>
      </x:c>
      <x:c r="I34" s="18" t="str">
        <x:v>10181909-1949-0367-0000-d6f424f63198</x:v>
      </x:c>
      <x:c r="J34" s="18" t="str">
        <x:v>No</x:v>
      </x:c>
    </x:row>
    <x:row r="35" ht="34" customHeight="1">
      <x:c r="A35" s="18" t="str">
        <x:v>handwriting-input</x:v>
      </x:c>
      <x:c r="B35" s="18" t="str">
        <x:v>chinese handwriting input</x:v>
      </x:c>
      <x:c r="C35" s="19" t="n">
        <x:v>6600</x:v>
      </x:c>
      <x:c r="D35" s="18" t="str">
        <x:v>Sí</x:v>
      </x:c>
      <x:c r="E35" s="18" t="str">
        <x:v>2025-10 / 2026-09</x:v>
      </x:c>
      <x:c r="F35" s="18" t="str">
        <x:v>Global · sin filtro de idioma</x:v>
      </x:c>
      <x:c r="G35" s="18" t="str">
        <x:v>search_volume</x:v>
      </x:c>
      <x:c r="H35" s="18" t="str">
        <x:v>global-candidates.json</x:v>
      </x:c>
      <x:c r="I35" s="18" t="str">
        <x:v>10181909-1949-0367-0000-d6f424f63198</x:v>
      </x:c>
      <x:c r="J35" s="18" t="str">
        <x:v>No</x:v>
      </x:c>
    </x:row>
    <x:row r="36" ht="34" customHeight="1">
      <x:c r="A36" s="18" t="str">
        <x:v>handwriting-input</x:v>
      </x:c>
      <x:c r="B36" s="18" t="str">
        <x:v>handwriting recognition</x:v>
      </x:c>
      <x:c r="C36" s="19" t="n">
        <x:v>5400</x:v>
      </x:c>
      <x:c r="D36" s="18" t="str">
        <x:v>No</x:v>
      </x:c>
      <x:c r="E36" s="18" t="str">
        <x:v>2025-10 / 2026-09</x:v>
      </x:c>
      <x:c r="F36" s="18" t="str">
        <x:v>Global · sin filtro de idioma</x:v>
      </x:c>
      <x:c r="G36" s="18" t="str">
        <x:v>search_volume</x:v>
      </x:c>
      <x:c r="H36" s="18" t="str">
        <x:v>global-candidates.json</x:v>
      </x:c>
      <x:c r="I36" s="18" t="str">
        <x:v>10181909-1949-0367-0000-d6f424f63198</x:v>
      </x:c>
      <x:c r="J36" s="18" t="str">
        <x:v>No</x:v>
      </x:c>
    </x:row>
    <x:row r="37" ht="34" customHeight="1">
      <x:c r="A37" s="18" t="str">
        <x:v>handwriting-input</x:v>
      </x:c>
      <x:c r="B37" s="18" t="str">
        <x:v>手写输入</x:v>
      </x:c>
      <x:c r="C37" s="19" t="n">
        <x:v>2900</x:v>
      </x:c>
      <x:c r="D37" s="18" t="str">
        <x:v>No</x:v>
      </x:c>
      <x:c r="E37" s="18" t="str">
        <x:v>2025-10 / 2026-09</x:v>
      </x:c>
      <x:c r="F37" s="18" t="str">
        <x:v>Global · sin filtro de idioma</x:v>
      </x:c>
      <x:c r="G37" s="18" t="str">
        <x:v>search_volume</x:v>
      </x:c>
      <x:c r="H37" s="18" t="str">
        <x:v>global-candidates.json</x:v>
      </x:c>
      <x:c r="I37" s="18" t="str">
        <x:v>10181909-1949-0367-0000-d6f424f63198</x:v>
      </x:c>
      <x:c r="J37" s="18" t="str">
        <x:v>No</x:v>
      </x:c>
    </x:row>
    <x:row r="38" ht="34" customHeight="1">
      <x:c r="A38" s="18" t="str">
        <x:v>braille-translator</x:v>
      </x:c>
      <x:c r="B38" s="18" t="str">
        <x:v>braille translator</x:v>
      </x:c>
      <x:c r="C38" s="19" t="n">
        <x:v>27100</x:v>
      </x:c>
      <x:c r="D38" s="18" t="str">
        <x:v>Sí</x:v>
      </x:c>
      <x:c r="E38" s="18" t="str">
        <x:v>2025-10 / 2026-09</x:v>
      </x:c>
      <x:c r="F38" s="18" t="str">
        <x:v>Global · sin filtro de idioma</x:v>
      </x:c>
      <x:c r="G38" s="18" t="str">
        <x:v>search_volume</x:v>
      </x:c>
      <x:c r="H38" s="18" t="str">
        <x:v>global-initial-screen.json</x:v>
      </x:c>
      <x:c r="I38" s="18" t="str">
        <x:v>10181645-1949-0367-0000-721aab5cac1a</x:v>
      </x:c>
      <x:c r="J38" s="18" t="str">
        <x:v>No</x:v>
      </x:c>
    </x:row>
    <x:row r="39" ht="34" customHeight="1">
      <x:c r="A39" s="18" t="str">
        <x:v>braille-translator</x:v>
      </x:c>
      <x:c r="B39" s="18" t="str">
        <x:v>traductor braille</x:v>
      </x:c>
      <x:c r="C39" s="19" t="n">
        <x:v>4400</x:v>
      </x:c>
      <x:c r="D39" s="18" t="str">
        <x:v>No</x:v>
      </x:c>
      <x:c r="E39" s="18" t="str">
        <x:v>2025-10 / 2026-09</x:v>
      </x:c>
      <x:c r="F39" s="18" t="str">
        <x:v>Global · sin filtro de idioma</x:v>
      </x:c>
      <x:c r="G39" s="18" t="str">
        <x:v>search_volume</x:v>
      </x:c>
      <x:c r="H39" s="18" t="str">
        <x:v>global-candidates.json</x:v>
      </x:c>
      <x:c r="I39" s="18" t="str">
        <x:v>10181909-1949-0367-0000-d6f424f63198</x:v>
      </x:c>
      <x:c r="J39" s="18" t="str">
        <x:v>No</x:v>
      </x:c>
    </x:row>
    <x:row r="40" ht="34" customHeight="1">
      <x:c r="A40" s="18" t="str">
        <x:v>braille-translator</x:v>
      </x:c>
      <x:c r="B40" s="18" t="str">
        <x:v>braille übersetzer</x:v>
      </x:c>
      <x:c r="C40" s="19" t="n">
        <x:v>590</x:v>
      </x:c>
      <x:c r="D40" s="18" t="str">
        <x:v>No</x:v>
      </x:c>
      <x:c r="E40" s="18" t="str">
        <x:v>2025-10 / 2026-09</x:v>
      </x:c>
      <x:c r="F40" s="18" t="str">
        <x:v>Global · sin filtro de idioma</x:v>
      </x:c>
      <x:c r="G40" s="18" t="str">
        <x:v>search_volume</x:v>
      </x:c>
      <x:c r="H40" s="18" t="str">
        <x:v>global-candidates.json</x:v>
      </x:c>
      <x:c r="I40" s="18" t="str">
        <x:v>10181909-1949-0367-0000-d6f424f63198</x:v>
      </x:c>
      <x:c r="J40" s="18" t="str">
        <x:v>No</x:v>
      </x:c>
    </x:row>
    <x:row r="41" ht="34" customHeight="1">
      <x:c r="A41" s="18" t="str">
        <x:v>fingerspelling-trainer</x:v>
      </x:c>
      <x:c r="B41" s="18" t="str">
        <x:v>fingerspelling practice</x:v>
      </x:c>
      <x:c r="C41" s="19" t="n">
        <x:v>1000</x:v>
      </x:c>
      <x:c r="D41" s="18" t="str">
        <x:v>Sí</x:v>
      </x:c>
      <x:c r="E41" s="18" t="str">
        <x:v>2025-10 / 2026-09</x:v>
      </x:c>
      <x:c r="F41" s="18" t="str">
        <x:v>Global · sin filtro de idioma</x:v>
      </x:c>
      <x:c r="G41" s="18" t="str">
        <x:v>search_volume</x:v>
      </x:c>
      <x:c r="H41" s="18" t="str">
        <x:v>global-refinement.json</x:v>
      </x:c>
      <x:c r="I41" s="18" t="str">
        <x:v>10181917-1949-0367-0000-6ceea1dc515c</x:v>
      </x:c>
      <x:c r="J41" s="18" t="str">
        <x:v>No</x:v>
      </x:c>
    </x:row>
    <x:row r="42" ht="34" customHeight="1">
      <x:c r="A42" s="18" t="str">
        <x:v>language-detector</x:v>
      </x:c>
      <x:c r="B42" s="18" t="str">
        <x:v>language detector</x:v>
      </x:c>
      <x:c r="C42" s="19" t="n">
        <x:v>14800</x:v>
      </x:c>
      <x:c r="D42" s="18" t="str">
        <x:v>Sí</x:v>
      </x:c>
      <x:c r="E42" s="18" t="str">
        <x:v>2025-10 / 2026-09</x:v>
      </x:c>
      <x:c r="F42" s="18" t="str">
        <x:v>Global · sin filtro de idioma</x:v>
      </x:c>
      <x:c r="G42" s="18" t="str">
        <x:v>search_volume</x:v>
      </x:c>
      <x:c r="H42" s="18" t="str">
        <x:v>global-candidates.json</x:v>
      </x:c>
      <x:c r="I42" s="18" t="str">
        <x:v>10181909-1949-0367-0000-d6f424f63198</x:v>
      </x:c>
      <x:c r="J42" s="18" t="str">
        <x:v>No</x:v>
      </x:c>
    </x:row>
    <x:row r="43" ht="34" customHeight="1">
      <x:c r="A43" s="18" t="str">
        <x:v>language-detector</x:v>
      </x:c>
      <x:c r="B43" s="18" t="str">
        <x:v>detect language</x:v>
      </x:c>
      <x:c r="C43" s="19" t="n">
        <x:v>14800</x:v>
      </x:c>
      <x:c r="D43" s="18" t="str">
        <x:v>No</x:v>
      </x:c>
      <x:c r="E43" s="18" t="str">
        <x:v>2025-10 / 2026-09</x:v>
      </x:c>
      <x:c r="F43" s="18" t="str">
        <x:v>Global · sin filtro de idioma</x:v>
      </x:c>
      <x:c r="G43" s="18" t="str">
        <x:v>search_volume</x:v>
      </x:c>
      <x:c r="H43" s="18" t="str">
        <x:v>global-candidates.json</x:v>
      </x:c>
      <x:c r="I43" s="18" t="str">
        <x:v>10181909-1949-0367-0000-d6f424f63198</x:v>
      </x:c>
      <x:c r="J43" s="18" t="str">
        <x:v>No</x:v>
      </x:c>
    </x:row>
    <x:row r="44" ht="34" customHeight="1">
      <x:c r="A44" s="18" t="str">
        <x:v>language-detector</x:v>
      </x:c>
      <x:c r="B44" s="18" t="str">
        <x:v>identificar idioma</x:v>
      </x:c>
      <x:c r="C44" s="19" t="n">
        <x:v>1300</x:v>
      </x:c>
      <x:c r="D44" s="18" t="str">
        <x:v>No</x:v>
      </x:c>
      <x:c r="E44" s="18" t="str">
        <x:v>2025-10 / 2026-09</x:v>
      </x:c>
      <x:c r="F44" s="18" t="str">
        <x:v>Global · sin filtro de idioma</x:v>
      </x:c>
      <x:c r="G44" s="18" t="str">
        <x:v>search_volume</x:v>
      </x:c>
      <x:c r="H44" s="18" t="str">
        <x:v>global-candidates.json</x:v>
      </x:c>
      <x:c r="I44" s="18" t="str">
        <x:v>10181909-1949-0367-0000-d6f424f63198</x:v>
      </x:c>
      <x:c r="J44" s="18" t="str">
        <x:v>No</x:v>
      </x:c>
    </x:row>
    <x:row r="45" ht="34" customHeight="1">
      <x:c r="A45" s="18" t="str">
        <x:v>verb-conjugator</x:v>
      </x:c>
      <x:c r="B45" s="18" t="str">
        <x:v>verb conjugator</x:v>
      </x:c>
      <x:c r="C45" s="19" t="n">
        <x:v>14800</x:v>
      </x:c>
      <x:c r="D45" s="18" t="str">
        <x:v>No</x:v>
      </x:c>
      <x:c r="E45" s="18" t="str">
        <x:v>2025-10 / 2026-09</x:v>
      </x:c>
      <x:c r="F45" s="18" t="str">
        <x:v>Global · sin filtro de idioma</x:v>
      </x:c>
      <x:c r="G45" s="18" t="str">
        <x:v>search_volume</x:v>
      </x:c>
      <x:c r="H45" s="18" t="str">
        <x:v>global-initial-screen.json</x:v>
      </x:c>
      <x:c r="I45" s="18" t="str">
        <x:v>10181645-1949-0367-0000-721aab5cac1a</x:v>
      </x:c>
      <x:c r="J45" s="18" t="str">
        <x:v>No</x:v>
      </x:c>
    </x:row>
    <x:row r="46" ht="34" customHeight="1">
      <x:c r="A46" s="18" t="str">
        <x:v>verb-conjugator</x:v>
      </x:c>
      <x:c r="B46" s="18" t="str">
        <x:v>conjugaison</x:v>
      </x:c>
      <x:c r="C46" s="19" t="n">
        <x:v>110000</x:v>
      </x:c>
      <x:c r="D46" s="18" t="str">
        <x:v>Sí</x:v>
      </x:c>
      <x:c r="E46" s="18" t="str">
        <x:v>2025-10 / 2026-09</x:v>
      </x:c>
      <x:c r="F46" s="18" t="str">
        <x:v>Global · sin filtro de idioma</x:v>
      </x:c>
      <x:c r="G46" s="18" t="str">
        <x:v>search_volume</x:v>
      </x:c>
      <x:c r="H46" s="18" t="str">
        <x:v>global-candidates.json</x:v>
      </x:c>
      <x:c r="I46" s="18" t="str">
        <x:v>10181909-1949-0367-0000-d6f424f63198</x:v>
      </x:c>
      <x:c r="J46" s="18" t="str">
        <x:v>No</x:v>
      </x:c>
    </x:row>
    <x:row r="47" ht="34" customHeight="1">
      <x:c r="A47" s="18" t="str">
        <x:v>verb-conjugator</x:v>
      </x:c>
      <x:c r="B47" s="18" t="str">
        <x:v>conjugador de verbos</x:v>
      </x:c>
      <x:c r="C47" s="19" t="n">
        <x:v>27100</x:v>
      </x:c>
      <x:c r="D47" s="18" t="str">
        <x:v>No</x:v>
      </x:c>
      <x:c r="E47" s="18" t="str">
        <x:v>2025-10 / 2026-09</x:v>
      </x:c>
      <x:c r="F47" s="18" t="str">
        <x:v>Global · sin filtro de idioma</x:v>
      </x:c>
      <x:c r="G47" s="18" t="str">
        <x:v>search_volume</x:v>
      </x:c>
      <x:c r="H47" s="18" t="str">
        <x:v>global-candidates.json</x:v>
      </x:c>
      <x:c r="I47" s="18" t="str">
        <x:v>10181909-1949-0367-0000-d6f424f63198</x:v>
      </x:c>
      <x:c r="J47" s="18" t="str">
        <x:v>No</x:v>
      </x:c>
    </x:row>
    <x:row r="48" ht="34" customHeight="1">
      <x:c r="A48" s="18" t="str">
        <x:v>word-stress-finder</x:v>
      </x:c>
      <x:c r="B48" s="18" t="str">
        <x:v>syllable counter</x:v>
      </x:c>
      <x:c r="C48" s="19" t="n">
        <x:v>40500</x:v>
      </x:c>
      <x:c r="D48" s="18" t="str">
        <x:v>Sí</x:v>
      </x:c>
      <x:c r="E48" s="18" t="str">
        <x:v>2025-10 / 2026-09</x:v>
      </x:c>
      <x:c r="F48" s="18" t="str">
        <x:v>Global · sin filtro de idioma</x:v>
      </x:c>
      <x:c r="G48" s="18" t="str">
        <x:v>search_volume</x:v>
      </x:c>
      <x:c r="H48" s="18" t="str">
        <x:v>global-initial-screen.json</x:v>
      </x:c>
      <x:c r="I48" s="18" t="str">
        <x:v>10181645-1949-0367-0000-721aab5cac1a</x:v>
      </x:c>
      <x:c r="J48" s="18" t="str">
        <x:v>No</x:v>
      </x:c>
    </x:row>
    <x:row r="49" ht="34" customHeight="1">
      <x:c r="A49" s="18" t="str">
        <x:v>word-stress-finder</x:v>
      </x:c>
      <x:c r="B49" s="18" t="str">
        <x:v>separador de silabas</x:v>
      </x:c>
      <x:c r="C49" s="19" t="n">
        <x:v>12100</x:v>
      </x:c>
      <x:c r="D49" s="18" t="str">
        <x:v>No</x:v>
      </x:c>
      <x:c r="E49" s="18" t="str">
        <x:v>2025-10 / 2026-09</x:v>
      </x:c>
      <x:c r="F49" s="18" t="str">
        <x:v>Global · sin filtro de idioma</x:v>
      </x:c>
      <x:c r="G49" s="18" t="str">
        <x:v>search_volume</x:v>
      </x:c>
      <x:c r="H49" s="18" t="str">
        <x:v>global-candidates.json</x:v>
      </x:c>
      <x:c r="I49" s="18" t="str">
        <x:v>10181909-1949-0367-0000-d6f424f63198</x:v>
      </x:c>
      <x:c r="J49" s="18" t="str">
        <x:v>No</x:v>
      </x:c>
    </x:row>
    <x:row r="50" ht="34" customHeight="1">
      <x:c r="A50" s="18" t="str">
        <x:v>word-stress-finder</x:v>
      </x:c>
      <x:c r="B50" s="18" t="str">
        <x:v>ударение в слове</x:v>
      </x:c>
      <x:c r="C50" s="19" t="n">
        <x:v>2900</x:v>
      </x:c>
      <x:c r="D50" s="18" t="str">
        <x:v>No</x:v>
      </x:c>
      <x:c r="E50" s="18" t="str">
        <x:v>2025-10 / 2026-09</x:v>
      </x:c>
      <x:c r="F50" s="18" t="str">
        <x:v>Global · sin filtro de idioma</x:v>
      </x:c>
      <x:c r="G50" s="18" t="str">
        <x:v>search_volume</x:v>
      </x:c>
      <x:c r="H50" s="18" t="str">
        <x:v>global-candidates.json</x:v>
      </x:c>
      <x:c r="I50" s="18" t="str">
        <x:v>10181909-1949-0367-0000-d6f424f63198</x:v>
      </x:c>
      <x:c r="J50" s="18" t="str">
        <x:v>No</x:v>
      </x:c>
    </x:row>
    <x:row r="51" ht="34" customHeight="1">
      <x:c r="A51" s="18" t="str">
        <x:v>sentence-diagrammer</x:v>
      </x:c>
      <x:c r="B51" s="18" t="str">
        <x:v>sentence diagrammer</x:v>
      </x:c>
      <x:c r="C51" s="19" t="n">
        <x:v>18100</x:v>
      </x:c>
      <x:c r="D51" s="18" t="str">
        <x:v>No</x:v>
      </x:c>
      <x:c r="E51" s="18" t="str">
        <x:v>2025-10 / 2026-09</x:v>
      </x:c>
      <x:c r="F51" s="18" t="str">
        <x:v>Global · sin filtro de idioma</x:v>
      </x:c>
      <x:c r="G51" s="18" t="str">
        <x:v>search_volume</x:v>
      </x:c>
      <x:c r="H51" s="18" t="str">
        <x:v>global-initial-screen.json</x:v>
      </x:c>
      <x:c r="I51" s="18" t="str">
        <x:v>10181645-1949-0367-0000-721aab5cac1a</x:v>
      </x:c>
      <x:c r="J51" s="18" t="str">
        <x:v>No</x:v>
      </x:c>
    </x:row>
    <x:row r="52" ht="34" customHeight="1">
      <x:c r="A52" s="18" t="str">
        <x:v>sentence-diagrammer</x:v>
      </x:c>
      <x:c r="B52" s="18" t="str">
        <x:v>análisis sintáctico</x:v>
      </x:c>
      <x:c r="C52" s="19" t="n">
        <x:v>22200</x:v>
      </x:c>
      <x:c r="D52" s="18" t="str">
        <x:v>Sí</x:v>
      </x:c>
      <x:c r="E52" s="18" t="str">
        <x:v>2025-10 / 2026-09</x:v>
      </x:c>
      <x:c r="F52" s="18" t="str">
        <x:v>Global · sin filtro de idioma</x:v>
      </x:c>
      <x:c r="G52" s="18" t="str">
        <x:v>search_volume</x:v>
      </x:c>
      <x:c r="H52" s="18" t="str">
        <x:v>global-candidates.json</x:v>
      </x:c>
      <x:c r="I52" s="18" t="str">
        <x:v>10181909-1949-0367-0000-d6f424f63198</x:v>
      </x:c>
      <x:c r="J52" s="18" t="str">
        <x:v>No</x:v>
      </x:c>
    </x:row>
    <x:row r="53" ht="34" customHeight="1">
      <x:c r="A53" s="18" t="str">
        <x:v>sentence-diagrammer</x:v>
      </x:c>
      <x:c r="B53" s="18" t="str">
        <x:v>parse sentence</x:v>
      </x:c>
      <x:c r="C53" s="19" t="n">
        <x:v>1000</x:v>
      </x:c>
      <x:c r="D53" s="18" t="str">
        <x:v>No</x:v>
      </x:c>
      <x:c r="E53" s="18" t="str">
        <x:v>2025-10 / 2026-09</x:v>
      </x:c>
      <x:c r="F53" s="18" t="str">
        <x:v>Global · sin filtro de idioma</x:v>
      </x:c>
      <x:c r="G53" s="18" t="str">
        <x:v>search_volume</x:v>
      </x:c>
      <x:c r="H53" s="18" t="str">
        <x:v>global-candidates.json</x:v>
      </x:c>
      <x:c r="I53" s="18" t="str">
        <x:v>10181909-1949-0367-0000-d6f424f63198</x:v>
      </x:c>
      <x:c r="J53" s="18" t="str">
        <x:v>No</x:v>
      </x:c>
    </x:row>
    <x:row r="54" ht="34" customHeight="1">
      <x:c r="A54" s="18" t="str">
        <x:v>emoji-search</x:v>
      </x:c>
      <x:c r="B54" s="18" t="str">
        <x:v>emoji copy paste</x:v>
      </x:c>
      <x:c r="C54" s="19" t="n">
        <x:v>201000</x:v>
      </x:c>
      <x:c r="D54" s="18" t="str">
        <x:v>Sí</x:v>
      </x:c>
      <x:c r="E54" s="18" t="str">
        <x:v>2025-10 / 2026-09</x:v>
      </x:c>
      <x:c r="F54" s="18" t="str">
        <x:v>Global · sin filtro de idioma</x:v>
      </x:c>
      <x:c r="G54" s="18" t="str">
        <x:v>search_volume</x:v>
      </x:c>
      <x:c r="H54" s="18" t="str">
        <x:v>global-final-screen.json</x:v>
      </x:c>
      <x:c r="I54" s="18" t="str">
        <x:v>10181918-1949-0367-0000-858bd36e8091</x:v>
      </x:c>
      <x:c r="J54" s="18" t="str">
        <x:v>No</x:v>
      </x:c>
    </x:row>
    <x:row r="55" ht="34" customHeight="1">
      <x:c r="A55" s="18" t="str">
        <x:v>emoji-search</x:v>
      </x:c>
      <x:c r="B55" s="18" t="str">
        <x:v>emoji keyboard</x:v>
      </x:c>
      <x:c r="C55" s="19" t="n">
        <x:v>74000</x:v>
      </x:c>
      <x:c r="D55" s="18" t="str">
        <x:v>No</x:v>
      </x:c>
      <x:c r="E55" s="18" t="str">
        <x:v>2025-10 / 2026-09</x:v>
      </x:c>
      <x:c r="F55" s="18" t="str">
        <x:v>Global · sin filtro de idioma</x:v>
      </x:c>
      <x:c r="G55" s="18" t="str">
        <x:v>search_volume</x:v>
      </x:c>
      <x:c r="H55" s="18" t="str">
        <x:v>global-candidates.json</x:v>
      </x:c>
      <x:c r="I55" s="18" t="str">
        <x:v>10181909-1949-0367-0000-d6f424f63198</x:v>
      </x:c>
      <x:c r="J55" s="18" t="str">
        <x:v>No</x:v>
      </x:c>
    </x:row>
    <x:row r="56" ht="34" customHeight="1">
      <x:c r="A56" s="18" t="str">
        <x:v>emoji-search</x:v>
      </x:c>
      <x:c r="B56" s="18" t="str">
        <x:v>emoji search</x:v>
      </x:c>
      <x:c r="C56" s="19" t="n">
        <x:v>12100</x:v>
      </x:c>
      <x:c r="D56" s="18" t="str">
        <x:v>No</x:v>
      </x:c>
      <x:c r="E56" s="18" t="str">
        <x:v>2025-10 / 2026-09</x:v>
      </x:c>
      <x:c r="F56" s="18" t="str">
        <x:v>Global · sin filtro de idioma</x:v>
      </x:c>
      <x:c r="G56" s="18" t="str">
        <x:v>search_volume</x:v>
      </x:c>
      <x:c r="H56" s="18" t="str">
        <x:v>global-refinement.json</x:v>
      </x:c>
      <x:c r="I56" s="18" t="str">
        <x:v>10181917-1949-0367-0000-6ceea1dc515c</x:v>
      </x:c>
      <x:c r="J56" s="18" t="str">
        <x:v>No</x:v>
      </x:c>
    </x:row>
    <x:row r="57" ht="34" customHeight="1">
      <x:c r="A57" s="18" t="str">
        <x:v>acronym-dictionary</x:v>
      </x:c>
      <x:c r="B57" s="18" t="str">
        <x:v>acronym finder</x:v>
      </x:c>
      <x:c r="C57" s="19" t="n">
        <x:v>8100</x:v>
      </x:c>
      <x:c r="D57" s="18" t="str">
        <x:v>Sí</x:v>
      </x:c>
      <x:c r="E57" s="18" t="str">
        <x:v>2025-10 / 2026-09</x:v>
      </x:c>
      <x:c r="F57" s="18" t="str">
        <x:v>Global · sin filtro de idioma</x:v>
      </x:c>
      <x:c r="G57" s="18" t="str">
        <x:v>search_volume</x:v>
      </x:c>
      <x:c r="H57" s="18" t="str">
        <x:v>global-candidates.json</x:v>
      </x:c>
      <x:c r="I57" s="18" t="str">
        <x:v>10181909-1949-0367-0000-d6f424f63198</x:v>
      </x:c>
      <x:c r="J57" s="18" t="str">
        <x:v>No</x:v>
      </x:c>
    </x:row>
    <x:row r="58" ht="34" customHeight="1">
      <x:c r="A58" s="18" t="str">
        <x:v>acronym-dictionary</x:v>
      </x:c>
      <x:c r="B58" s="18" t="str">
        <x:v>abbreviation finder</x:v>
      </x:c>
      <x:c r="C58" s="19" t="n">
        <x:v>1600</x:v>
      </x:c>
      <x:c r="D58" s="18" t="str">
        <x:v>No</x:v>
      </x:c>
      <x:c r="E58" s="18" t="str">
        <x:v>2025-10 / 2026-09</x:v>
      </x:c>
      <x:c r="F58" s="18" t="str">
        <x:v>Global · sin filtro de idioma</x:v>
      </x:c>
      <x:c r="G58" s="18" t="str">
        <x:v>search_volume</x:v>
      </x:c>
      <x:c r="H58" s="18" t="str">
        <x:v>global-candidates.json</x:v>
      </x:c>
      <x:c r="I58" s="18" t="str">
        <x:v>10181909-1949-0367-0000-d6f424f63198</x:v>
      </x:c>
      <x:c r="J58" s="18" t="str">
        <x:v>No</x:v>
      </x:c>
    </x:row>
    <x:row r="59" ht="34" customHeight="1">
      <x:c r="A59" s="18" t="str">
        <x:v>acronym-dictionary</x:v>
      </x:c>
      <x:c r="B59" s="18" t="str">
        <x:v>significado siglas</x:v>
      </x:c>
      <x:c r="C59" s="19" t="n">
        <x:v>6600</x:v>
      </x:c>
      <x:c r="D59" s="18" t="str">
        <x:v>No</x:v>
      </x:c>
      <x:c r="E59" s="18" t="str">
        <x:v>2025-10 / 2026-09</x:v>
      </x:c>
      <x:c r="F59" s="18" t="str">
        <x:v>Global · sin filtro de idioma</x:v>
      </x:c>
      <x:c r="G59" s="18" t="str">
        <x:v>search_volume</x:v>
      </x:c>
      <x:c r="H59" s="18" t="str">
        <x:v>global-candidates.json</x:v>
      </x:c>
      <x:c r="I59" s="18" t="str">
        <x:v>10181909-1949-0367-0000-d6f424f63198</x:v>
      </x:c>
      <x:c r="J59" s="18" t="str">
        <x:v>No</x:v>
      </x:c>
    </x:row>
    <x:row r="60" ht="34" customHeight="1">
      <x:c r="A60" s="18" t="str">
        <x:v>pronunciation-dictionary</x:v>
      </x:c>
      <x:c r="B60" s="18" t="str">
        <x:v>pronunciation</x:v>
      </x:c>
      <x:c r="C60" s="19" t="n">
        <x:v>673000</x:v>
      </x:c>
      <x:c r="D60" s="18" t="str">
        <x:v>Sí</x:v>
      </x:c>
      <x:c r="E60" s="18" t="str">
        <x:v>2025-10 / 2026-09</x:v>
      </x:c>
      <x:c r="F60" s="18" t="str">
        <x:v>Global · sin filtro de idioma</x:v>
      </x:c>
      <x:c r="G60" s="18" t="str">
        <x:v>search_volume</x:v>
      </x:c>
      <x:c r="H60" s="18" t="str">
        <x:v>global-candidates.json</x:v>
      </x:c>
      <x:c r="I60" s="18" t="str">
        <x:v>10181909-1949-0367-0000-d6f424f63198</x:v>
      </x:c>
      <x:c r="J60" s="18" t="str">
        <x:v>No</x:v>
      </x:c>
    </x:row>
    <x:row r="61" ht="34" customHeight="1">
      <x:c r="A61" s="18" t="str">
        <x:v>pronunciation-dictionary</x:v>
      </x:c>
      <x:c r="B61" s="18" t="str">
        <x:v>pronunciation dictionary</x:v>
      </x:c>
      <x:c r="C61" s="19" t="n">
        <x:v>49500</x:v>
      </x:c>
      <x:c r="D61" s="18" t="str">
        <x:v>No</x:v>
      </x:c>
      <x:c r="E61" s="18" t="str">
        <x:v>2025-10 / 2026-09</x:v>
      </x:c>
      <x:c r="F61" s="18" t="str">
        <x:v>Global · sin filtro de idioma</x:v>
      </x:c>
      <x:c r="G61" s="18" t="str">
        <x:v>search_volume</x:v>
      </x:c>
      <x:c r="H61" s="18" t="str">
        <x:v>global-initial-screen.json</x:v>
      </x:c>
      <x:c r="I61" s="18" t="str">
        <x:v>10181645-1949-0367-0000-721aab5cac1a</x:v>
      </x:c>
      <x:c r="J61" s="18" t="str">
        <x:v>No</x:v>
      </x:c>
    </x:row>
    <x:row r="62" ht="34" customHeight="1">
      <x:c r="A62" s="18" t="str">
        <x:v>pronunciation-dictionary</x:v>
      </x:c>
      <x:c r="B62" s="18" t="str">
        <x:v>how to pronounce</x:v>
      </x:c>
      <x:c r="C62" s="19" t="n">
        <x:v>673000</x:v>
      </x:c>
      <x:c r="D62" s="18" t="str">
        <x:v>No</x:v>
      </x:c>
      <x:c r="E62" s="18" t="str">
        <x:v>2025-10 / 2026-09</x:v>
      </x:c>
      <x:c r="F62" s="18" t="str">
        <x:v>Global · sin filtro de idioma</x:v>
      </x:c>
      <x:c r="G62" s="18" t="str">
        <x:v>search_volume</x:v>
      </x:c>
      <x:c r="H62" s="18" t="str">
        <x:v>global-candidates.json</x:v>
      </x:c>
      <x:c r="I62" s="18" t="str">
        <x:v>10181909-1949-0367-0000-d6f424f63198</x:v>
      </x:c>
      <x:c r="J62" s="18" t="str">
        <x:v>No</x:v>
      </x:c>
    </x:row>
    <x:row r="63" ht="34" customHeight="1">
      <x:c r="A63" s="18" t="str">
        <x:v>pronunciation-dictionary</x:v>
      </x:c>
      <x:c r="B63" s="18" t="str">
        <x:v>pronunciation dictionary</x:v>
      </x:c>
      <x:c r="C63" s="19" t="n">
        <x:v>49500</x:v>
      </x:c>
      <x:c r="D63" s="18" t="str">
        <x:v>No</x:v>
      </x:c>
      <x:c r="E63" s="18" t="str">
        <x:v>2025-10 / 2026-09</x:v>
      </x:c>
      <x:c r="F63" s="18" t="str">
        <x:v>Global · sin filtro de idioma</x:v>
      </x:c>
      <x:c r="G63" s="18" t="str">
        <x:v>search_volume</x:v>
      </x:c>
      <x:c r="H63" s="18" t="str">
        <x:v>global-initial-screen.json</x:v>
      </x:c>
      <x:c r="I63" s="18" t="str">
        <x:v>10181645-1949-0367-0000-721aab5cac1a</x:v>
      </x:c>
      <x:c r="J63" s="18" t="str">
        <x:v>No</x:v>
      </x:c>
    </x:row>
    <x:row r="64" ht="34" customHeight="1">
      <x:c r="A64" s="18" t="str">
        <x:v>video-editor</x:v>
      </x:c>
      <x:c r="B64" s="18" t="str">
        <x:v>video editor</x:v>
      </x:c>
      <x:c r="C64" s="19" t="n">
        <x:v>550000</x:v>
      </x:c>
      <x:c r="D64" s="18" t="str">
        <x:v>Sí</x:v>
      </x:c>
      <x:c r="E64" s="18" t="str">
        <x:v>2025-10 / 2026-09</x:v>
      </x:c>
      <x:c r="F64" s="18" t="str">
        <x:v>Global · sin filtro de idioma</x:v>
      </x:c>
      <x:c r="G64" s="18" t="str">
        <x:v>search_volume</x:v>
      </x:c>
      <x:c r="H64" s="18" t="str">
        <x:v>global-initial-screen.json</x:v>
      </x:c>
      <x:c r="I64" s="18" t="str">
        <x:v>10181645-1949-0367-0000-721aab5cac1a</x:v>
      </x:c>
      <x:c r="J64" s="18" t="str">
        <x:v>No</x:v>
      </x:c>
    </x:row>
    <x:row r="65" ht="34" customHeight="1">
      <x:c r="A65" s="18" t="str">
        <x:v>video-editor</x:v>
      </x:c>
      <x:c r="B65" s="18" t="str">
        <x:v>editor de video</x:v>
      </x:c>
      <x:c r="C65" s="19" t="n">
        <x:v>165000</x:v>
      </x:c>
      <x:c r="D65" s="18" t="str">
        <x:v>No</x:v>
      </x:c>
      <x:c r="E65" s="18" t="str">
        <x:v>2025-10 / 2026-09</x:v>
      </x:c>
      <x:c r="F65" s="18" t="str">
        <x:v>Global · sin filtro de idioma</x:v>
      </x:c>
      <x:c r="G65" s="18" t="str">
        <x:v>search_volume</x:v>
      </x:c>
      <x:c r="H65" s="18" t="str">
        <x:v>global-candidates.json</x:v>
      </x:c>
      <x:c r="I65" s="18" t="str">
        <x:v>10181909-1949-0367-0000-d6f424f63198</x:v>
      </x:c>
      <x:c r="J65" s="18" t="str">
        <x:v>No</x:v>
      </x:c>
    </x:row>
    <x:row r="66" ht="34" customHeight="1">
      <x:c r="A66" s="18" t="str">
        <x:v>video-editor</x:v>
      </x:c>
      <x:c r="B66" s="18" t="str">
        <x:v>montage video</x:v>
      </x:c>
      <x:c r="C66" s="19" t="n">
        <x:v>27100</x:v>
      </x:c>
      <x:c r="D66" s="18" t="str">
        <x:v>No</x:v>
      </x:c>
      <x:c r="E66" s="18" t="str">
        <x:v>2025-10 / 2026-09</x:v>
      </x:c>
      <x:c r="F66" s="18" t="str">
        <x:v>Global · sin filtro de idioma</x:v>
      </x:c>
      <x:c r="G66" s="18" t="str">
        <x:v>search_volume</x:v>
      </x:c>
      <x:c r="H66" s="18" t="str">
        <x:v>global-candidates.json</x:v>
      </x:c>
      <x:c r="I66" s="18" t="str">
        <x:v>10181909-1949-0367-0000-d6f424f63198</x:v>
      </x:c>
      <x:c r="J66" s="18" t="str">
        <x:v>No</x:v>
      </x:c>
    </x:row>
    <x:row r="67" ht="34" customHeight="1">
      <x:c r="A67" s="18" t="str">
        <x:v>photo-background-changer</x:v>
      </x:c>
      <x:c r="B67" s="18" t="str">
        <x:v>photo background changer</x:v>
      </x:c>
      <x:c r="C67" s="19" t="n">
        <x:v>550000</x:v>
      </x:c>
      <x:c r="D67" s="18" t="str">
        <x:v>Sí</x:v>
      </x:c>
      <x:c r="E67" s="18" t="str">
        <x:v>2025-10 / 2026-09</x:v>
      </x:c>
      <x:c r="F67" s="18" t="str">
        <x:v>Global · sin filtro de idioma</x:v>
      </x:c>
      <x:c r="G67" s="18" t="str">
        <x:v>search_volume</x:v>
      </x:c>
      <x:c r="H67" s="18" t="str">
        <x:v>global-candidates.json</x:v>
      </x:c>
      <x:c r="I67" s="18" t="str">
        <x:v>10181909-1949-0367-0000-d6f424f63198</x:v>
      </x:c>
      <x:c r="J67" s="18" t="str">
        <x:v>No</x:v>
      </x:c>
    </x:row>
    <x:row r="68" ht="34" customHeight="1">
      <x:c r="A68" s="18" t="str">
        <x:v>photo-background-changer</x:v>
      </x:c>
      <x:c r="B68" s="18" t="str">
        <x:v>cambiar fondo de foto</x:v>
      </x:c>
      <x:c r="C68" s="19" t="n">
        <x:v>22200</x:v>
      </x:c>
      <x:c r="D68" s="18" t="str">
        <x:v>No</x:v>
      </x:c>
      <x:c r="E68" s="18" t="str">
        <x:v>2025-10 / 2026-09</x:v>
      </x:c>
      <x:c r="F68" s="18" t="str">
        <x:v>Global · sin filtro de idioma</x:v>
      </x:c>
      <x:c r="G68" s="18" t="str">
        <x:v>search_volume</x:v>
      </x:c>
      <x:c r="H68" s="18" t="str">
        <x:v>global-candidates.json</x:v>
      </x:c>
      <x:c r="I68" s="18" t="str">
        <x:v>10181909-1949-0367-0000-d6f424f63198</x:v>
      </x:c>
      <x:c r="J68" s="18" t="str">
        <x:v>No</x:v>
      </x:c>
    </x:row>
    <x:row r="69" ht="34" customHeight="1">
      <x:c r="A69" s="18" t="str">
        <x:v>photo-background-changer</x:v>
      </x:c>
      <x:c r="B69" s="18" t="str">
        <x:v>change image background</x:v>
      </x:c>
      <x:c r="C69" s="19" t="n">
        <x:v>550000</x:v>
      </x:c>
      <x:c r="D69" s="18" t="str">
        <x:v>No</x:v>
      </x:c>
      <x:c r="E69" s="18" t="str">
        <x:v>2025-10 / 2026-09</x:v>
      </x:c>
      <x:c r="F69" s="18" t="str">
        <x:v>Global · sin filtro de idioma</x:v>
      </x:c>
      <x:c r="G69" s="18" t="str">
        <x:v>search_volume</x:v>
      </x:c>
      <x:c r="H69" s="18" t="str">
        <x:v>global-candidates.json</x:v>
      </x:c>
      <x:c r="I69" s="18" t="str">
        <x:v>10181909-1949-0367-0000-d6f424f63198</x:v>
      </x:c>
      <x:c r="J69" s="18" t="str">
        <x:v>No</x:v>
      </x:c>
    </x:row>
    <x:row r="70" ht="34" customHeight="1">
      <x:c r="A70" s="18" t="str">
        <x:v>fancy-text-generator</x:v>
      </x:c>
      <x:c r="B70" s="18" t="str">
        <x:v>font generator</x:v>
      </x:c>
      <x:c r="C70" s="19" t="n">
        <x:v>3350000</x:v>
      </x:c>
      <x:c r="D70" s="18" t="str">
        <x:v>Sí</x:v>
      </x:c>
      <x:c r="E70" s="18" t="str">
        <x:v>2025-10 / 2026-09</x:v>
      </x:c>
      <x:c r="F70" s="18" t="str">
        <x:v>Global · sin filtro de idioma</x:v>
      </x:c>
      <x:c r="G70" s="18" t="str">
        <x:v>search_volume</x:v>
      </x:c>
      <x:c r="H70" s="18" t="str">
        <x:v>global-initial-screen.json</x:v>
      </x:c>
      <x:c r="I70" s="18" t="str">
        <x:v>10181645-1949-0367-0000-721aab5cac1a</x:v>
      </x:c>
      <x:c r="J70" s="18" t="str">
        <x:v>No</x:v>
      </x:c>
    </x:row>
    <x:row r="71" ht="34" customHeight="1">
      <x:c r="A71" s="18" t="str">
        <x:v>fancy-text-generator</x:v>
      </x:c>
      <x:c r="B71" s="18" t="str">
        <x:v>fancy text generator</x:v>
      </x:c>
      <x:c r="C71" s="19" t="n">
        <x:v>368000</x:v>
      </x:c>
      <x:c r="D71" s="18" t="str">
        <x:v>No</x:v>
      </x:c>
      <x:c r="E71" s="18" t="str">
        <x:v>2025-10 / 2026-09</x:v>
      </x:c>
      <x:c r="F71" s="18" t="str">
        <x:v>Global · sin filtro de idioma</x:v>
      </x:c>
      <x:c r="G71" s="18" t="str">
        <x:v>search_volume</x:v>
      </x:c>
      <x:c r="H71" s="18" t="str">
        <x:v>global-initial-screen.json</x:v>
      </x:c>
      <x:c r="I71" s="18" t="str">
        <x:v>10181645-1949-0367-0000-721aab5cac1a</x:v>
      </x:c>
      <x:c r="J71" s="18" t="str">
        <x:v>No</x:v>
      </x:c>
    </x:row>
    <x:row r="72" ht="34" customHeight="1">
      <x:c r="A72" s="18" t="str">
        <x:v>fancy-text-generator</x:v>
      </x:c>
      <x:c r="B72" s="18" t="str">
        <x:v>gerador de letras</x:v>
      </x:c>
      <x:c r="C72" s="19" t="n">
        <x:v>5400</x:v>
      </x:c>
      <x:c r="D72" s="18" t="str">
        <x:v>No</x:v>
      </x:c>
      <x:c r="E72" s="18" t="str">
        <x:v>2025-10 / 2026-09</x:v>
      </x:c>
      <x:c r="F72" s="18" t="str">
        <x:v>Global · sin filtro de idioma</x:v>
      </x:c>
      <x:c r="G72" s="18" t="str">
        <x:v>search_volume</x:v>
      </x:c>
      <x:c r="H72" s="18" t="str">
        <x:v>global-candidates.json</x:v>
      </x:c>
      <x:c r="I72" s="18" t="str">
        <x:v>10181909-1949-0367-0000-d6f424f63198</x:v>
      </x:c>
      <x:c r="J72" s="18" t="str">
        <x:v>No</x:v>
      </x:c>
    </x:row>
    <x:row r="73" ht="34" customHeight="1">
      <x:c r="A73" s="18" t="str">
        <x:v>fancy-text-generator</x:v>
      </x:c>
      <x:c r="B73" s="18" t="str">
        <x:v>fancy text generator</x:v>
      </x:c>
      <x:c r="C73" s="19" t="n">
        <x:v>368000</x:v>
      </x:c>
      <x:c r="D73" s="18" t="str">
        <x:v>No</x:v>
      </x:c>
      <x:c r="E73" s="18" t="str">
        <x:v>2025-10 / 2026-09</x:v>
      </x:c>
      <x:c r="F73" s="18" t="str">
        <x:v>Global · sin filtro de idioma</x:v>
      </x:c>
      <x:c r="G73" s="18" t="str">
        <x:v>search_volume</x:v>
      </x:c>
      <x:c r="H73" s="18" t="str">
        <x:v>global-initial-screen.json</x:v>
      </x:c>
      <x:c r="I73" s="18" t="str">
        <x:v>10181645-1949-0367-0000-721aab5cac1a</x:v>
      </x:c>
      <x:c r="J73" s="18" t="str">
        <x:v>No</x:v>
      </x:c>
    </x:row>
    <x:row r="74" ht="34" customHeight="1">
      <x:c r="A74" s="18" t="str">
        <x:v>online-whiteboard</x:v>
      </x:c>
      <x:c r="B74" s="18" t="str">
        <x:v>online whiteboard</x:v>
      </x:c>
      <x:c r="C74" s="19" t="n">
        <x:v>60500</x:v>
      </x:c>
      <x:c r="D74" s="18" t="str">
        <x:v>Sí</x:v>
      </x:c>
      <x:c r="E74" s="18" t="str">
        <x:v>2025-10 / 2026-09</x:v>
      </x:c>
      <x:c r="F74" s="18" t="str">
        <x:v>Global · sin filtro de idioma</x:v>
      </x:c>
      <x:c r="G74" s="18" t="str">
        <x:v>search_volume</x:v>
      </x:c>
      <x:c r="H74" s="18" t="str">
        <x:v>global-final-screen.json</x:v>
      </x:c>
      <x:c r="I74" s="18" t="str">
        <x:v>10181918-1949-0367-0000-858bd36e8091</x:v>
      </x:c>
      <x:c r="J74" s="18" t="str">
        <x:v>No</x:v>
      </x:c>
    </x:row>
    <x:row r="75" ht="34" customHeight="1">
      <x:c r="A75" s="18" t="str">
        <x:v>online-whiteboard</x:v>
      </x:c>
      <x:c r="B75" s="18" t="str">
        <x:v>whiteboard online</x:v>
      </x:c>
      <x:c r="C75" s="19" t="n">
        <x:v>60500</x:v>
      </x:c>
      <x:c r="D75" s="18" t="str">
        <x:v>No</x:v>
      </x:c>
      <x:c r="E75" s="18" t="str">
        <x:v>2025-10 / 2026-09</x:v>
      </x:c>
      <x:c r="F75" s="18" t="str">
        <x:v>Global · sin filtro de idioma</x:v>
      </x:c>
      <x:c r="G75" s="18" t="str">
        <x:v>search_volume</x:v>
      </x:c>
      <x:c r="H75" s="18" t="str">
        <x:v>global-candidates.json</x:v>
      </x:c>
      <x:c r="I75" s="18" t="str">
        <x:v>10181909-1949-0367-0000-d6f424f63198</x:v>
      </x:c>
      <x:c r="J75" s="18" t="str">
        <x:v>No</x:v>
      </x:c>
    </x:row>
    <x:row r="76" ht="34" customHeight="1">
      <x:c r="A76" s="18" t="str">
        <x:v>online-whiteboard</x:v>
      </x:c>
      <x:c r="B76" s="18" t="str">
        <x:v>pizarra online</x:v>
      </x:c>
      <x:c r="C76" s="19" t="n">
        <x:v>22200</x:v>
      </x:c>
      <x:c r="D76" s="18" t="str">
        <x:v>No</x:v>
      </x:c>
      <x:c r="E76" s="18" t="str">
        <x:v>2025-10 / 2026-09</x:v>
      </x:c>
      <x:c r="F76" s="18" t="str">
        <x:v>Global · sin filtro de idioma</x:v>
      </x:c>
      <x:c r="G76" s="18" t="str">
        <x:v>search_volume</x:v>
      </x:c>
      <x:c r="H76" s="18" t="str">
        <x:v>global-candidates.json</x:v>
      </x:c>
      <x:c r="I76" s="18" t="str">
        <x:v>10181909-1949-0367-0000-d6f424f63198</x:v>
      </x:c>
      <x:c r="J76" s="18" t="str">
        <x:v>No</x:v>
      </x:c>
    </x:row>
    <x:row r="77" ht="34" customHeight="1">
      <x:c r="A77" s="18" t="str">
        <x:v>online-paint</x:v>
      </x:c>
      <x:c r="B77" s="18" t="str">
        <x:v>drawing app</x:v>
      </x:c>
      <x:c r="C77" s="19" t="n">
        <x:v>201000</x:v>
      </x:c>
      <x:c r="D77" s="18" t="str">
        <x:v>Sí</x:v>
      </x:c>
      <x:c r="E77" s="18" t="str">
        <x:v>2025-10 / 2026-09</x:v>
      </x:c>
      <x:c r="F77" s="18" t="str">
        <x:v>Global · sin filtro de idioma</x:v>
      </x:c>
      <x:c r="G77" s="18" t="str">
        <x:v>search_volume</x:v>
      </x:c>
      <x:c r="H77" s="18" t="str">
        <x:v>global-candidates.json</x:v>
      </x:c>
      <x:c r="I77" s="18" t="str">
        <x:v>10181909-1949-0367-0000-d6f424f63198</x:v>
      </x:c>
      <x:c r="J77" s="18" t="str">
        <x:v>No</x:v>
      </x:c>
    </x:row>
    <x:row r="78" ht="34" customHeight="1">
      <x:c r="A78" s="18" t="str">
        <x:v>online-paint</x:v>
      </x:c>
      <x:c r="B78" s="18" t="str">
        <x:v>paint online</x:v>
      </x:c>
      <x:c r="C78" s="19" t="n">
        <x:v>201000</x:v>
      </x:c>
      <x:c r="D78" s="18" t="str">
        <x:v>No</x:v>
      </x:c>
      <x:c r="E78" s="18" t="str">
        <x:v>2025-10 / 2026-09</x:v>
      </x:c>
      <x:c r="F78" s="18" t="str">
        <x:v>Global · sin filtro de idioma</x:v>
      </x:c>
      <x:c r="G78" s="18" t="str">
        <x:v>search_volume</x:v>
      </x:c>
      <x:c r="H78" s="18" t="str">
        <x:v>global-candidates.json</x:v>
      </x:c>
      <x:c r="I78" s="18" t="str">
        <x:v>10181909-1949-0367-0000-d6f424f63198</x:v>
      </x:c>
      <x:c r="J78" s="18" t="str">
        <x:v>No</x:v>
      </x:c>
    </x:row>
    <x:row r="79" ht="34" customHeight="1">
      <x:c r="A79" s="18" t="str">
        <x:v>online-paint</x:v>
      </x:c>
      <x:c r="B79" s="18" t="str">
        <x:v>dessin en ligne</x:v>
      </x:c>
      <x:c r="C79" s="19" t="n">
        <x:v>6600</x:v>
      </x:c>
      <x:c r="D79" s="18" t="str">
        <x:v>No</x:v>
      </x:c>
      <x:c r="E79" s="18" t="str">
        <x:v>2025-10 / 2026-09</x:v>
      </x:c>
      <x:c r="F79" s="18" t="str">
        <x:v>Global · sin filtro de idioma</x:v>
      </x:c>
      <x:c r="G79" s="18" t="str">
        <x:v>search_volume</x:v>
      </x:c>
      <x:c r="H79" s="18" t="str">
        <x:v>global-candidates.json</x:v>
      </x:c>
      <x:c r="I79" s="18" t="str">
        <x:v>10181909-1949-0367-0000-d6f424f63198</x:v>
      </x:c>
      <x:c r="J79" s="18" t="str">
        <x:v>No</x:v>
      </x:c>
    </x:row>
    <x:row r="80" ht="34" customHeight="1">
      <x:c r="A80" s="18" t="str">
        <x:v>coloring-studio</x:v>
      </x:c>
      <x:c r="B80" s="18" t="str">
        <x:v>coloring pages</x:v>
      </x:c>
      <x:c r="C80" s="19" t="n">
        <x:v>823000</x:v>
      </x:c>
      <x:c r="D80" s="18" t="str">
        <x:v>Sí</x:v>
      </x:c>
      <x:c r="E80" s="18" t="str">
        <x:v>2025-10 / 2026-09</x:v>
      </x:c>
      <x:c r="F80" s="18" t="str">
        <x:v>Global · sin filtro de idioma</x:v>
      </x:c>
      <x:c r="G80" s="18" t="str">
        <x:v>search_volume</x:v>
      </x:c>
      <x:c r="H80" s="18" t="str">
        <x:v>global-candidates.json</x:v>
      </x:c>
      <x:c r="I80" s="18" t="str">
        <x:v>10181909-1949-0367-0000-d6f424f63198</x:v>
      </x:c>
      <x:c r="J80" s="18" t="str">
        <x:v>No</x:v>
      </x:c>
    </x:row>
    <x:row r="81" ht="34" customHeight="1">
      <x:c r="A81" s="18" t="str">
        <x:v>coloring-studio</x:v>
      </x:c>
      <x:c r="B81" s="18" t="str">
        <x:v>coloring games</x:v>
      </x:c>
      <x:c r="C81" s="19" t="n">
        <x:v>246000</x:v>
      </x:c>
      <x:c r="D81" s="18" t="str">
        <x:v>No</x:v>
      </x:c>
      <x:c r="E81" s="18" t="str">
        <x:v>2025-10 / 2026-09</x:v>
      </x:c>
      <x:c r="F81" s="18" t="str">
        <x:v>Global · sin filtro de idioma</x:v>
      </x:c>
      <x:c r="G81" s="18" t="str">
        <x:v>search_volume</x:v>
      </x:c>
      <x:c r="H81" s="18" t="str">
        <x:v>global-candidates.json</x:v>
      </x:c>
      <x:c r="I81" s="18" t="str">
        <x:v>10181909-1949-0367-0000-d6f424f63198</x:v>
      </x:c>
      <x:c r="J81" s="18" t="str">
        <x:v>No</x:v>
      </x:c>
    </x:row>
    <x:row r="82" ht="34" customHeight="1">
      <x:c r="A82" s="18" t="str">
        <x:v>coloring-studio</x:v>
      </x:c>
      <x:c r="B82" s="18" t="str">
        <x:v>dibujos para colorear</x:v>
      </x:c>
      <x:c r="C82" s="19" t="n">
        <x:v>673000</x:v>
      </x:c>
      <x:c r="D82" s="18" t="str">
        <x:v>No</x:v>
      </x:c>
      <x:c r="E82" s="18" t="str">
        <x:v>2025-10 / 2026-09</x:v>
      </x:c>
      <x:c r="F82" s="18" t="str">
        <x:v>Global · sin filtro de idioma</x:v>
      </x:c>
      <x:c r="G82" s="18" t="str">
        <x:v>search_volume</x:v>
      </x:c>
      <x:c r="H82" s="18" t="str">
        <x:v>global-candidates.json</x:v>
      </x:c>
      <x:c r="I82" s="18" t="str">
        <x:v>10181909-1949-0367-0000-d6f424f63198</x:v>
      </x:c>
      <x:c r="J82" s="18" t="str">
        <x:v>No</x:v>
      </x:c>
    </x:row>
    <x:row r="83" ht="34" customHeight="1">
      <x:c r="A83" s="18" t="str">
        <x:v>font-editor</x:v>
      </x:c>
      <x:c r="B83" s="18" t="str">
        <x:v>font editor</x:v>
      </x:c>
      <x:c r="C83" s="19" t="n">
        <x:v>22200</x:v>
      </x:c>
      <x:c r="D83" s="18" t="str">
        <x:v>Sí</x:v>
      </x:c>
      <x:c r="E83" s="18" t="str">
        <x:v>2025-10 / 2026-09</x:v>
      </x:c>
      <x:c r="F83" s="18" t="str">
        <x:v>Global · sin filtro de idioma</x:v>
      </x:c>
      <x:c r="G83" s="18" t="str">
        <x:v>search_volume</x:v>
      </x:c>
      <x:c r="H83" s="18" t="str">
        <x:v>global-candidates.json</x:v>
      </x:c>
      <x:c r="I83" s="18" t="str">
        <x:v>10181909-1949-0367-0000-d6f424f63198</x:v>
      </x:c>
      <x:c r="J83" s="18" t="str">
        <x:v>No</x:v>
      </x:c>
    </x:row>
    <x:row r="84" ht="34" customHeight="1">
      <x:c r="A84" s="18" t="str">
        <x:v>font-editor</x:v>
      </x:c>
      <x:c r="B84" s="18" t="str">
        <x:v>create font</x:v>
      </x:c>
      <x:c r="C84" s="19" t="n">
        <x:v>2900</x:v>
      </x:c>
      <x:c r="D84" s="18" t="str">
        <x:v>No</x:v>
      </x:c>
      <x:c r="E84" s="18" t="str">
        <x:v>2025-10 / 2026-09</x:v>
      </x:c>
      <x:c r="F84" s="18" t="str">
        <x:v>Global · sin filtro de idioma</x:v>
      </x:c>
      <x:c r="G84" s="18" t="str">
        <x:v>search_volume</x:v>
      </x:c>
      <x:c r="H84" s="18" t="str">
        <x:v>global-candidates.json</x:v>
      </x:c>
      <x:c r="I84" s="18" t="str">
        <x:v>10181909-1949-0367-0000-d6f424f63198</x:v>
      </x:c>
      <x:c r="J84" s="18" t="str">
        <x:v>No</x:v>
      </x:c>
    </x:row>
    <x:row r="85" ht="34" customHeight="1">
      <x:c r="A85" s="18" t="str">
        <x:v>font-editor</x:v>
      </x:c>
      <x:c r="B85" s="18" t="str">
        <x:v>crear tipografia</x:v>
      </x:c>
      <x:c r="C85" s="19" t="n">
        <x:v>720</x:v>
      </x:c>
      <x:c r="D85" s="18" t="str">
        <x:v>No</x:v>
      </x:c>
      <x:c r="E85" s="18" t="str">
        <x:v>2025-10 / 2026-09</x:v>
      </x:c>
      <x:c r="F85" s="18" t="str">
        <x:v>Global · sin filtro de idioma</x:v>
      </x:c>
      <x:c r="G85" s="18" t="str">
        <x:v>search_volume</x:v>
      </x:c>
      <x:c r="H85" s="18" t="str">
        <x:v>global-candidates.json</x:v>
      </x:c>
      <x:c r="I85" s="18" t="str">
        <x:v>10181909-1949-0367-0000-d6f424f63198</x:v>
      </x:c>
      <x:c r="J85" s="18" t="str">
        <x:v>No</x:v>
      </x:c>
    </x:row>
    <x:row r="86" ht="34" customHeight="1">
      <x:c r="A86" s="18" t="str">
        <x:v>font-identifier</x:v>
      </x:c>
      <x:c r="B86" s="18" t="str">
        <x:v>font finder</x:v>
      </x:c>
      <x:c r="C86" s="19" t="n">
        <x:v>450000</x:v>
      </x:c>
      <x:c r="D86" s="18" t="str">
        <x:v>Sí</x:v>
      </x:c>
      <x:c r="E86" s="18" t="str">
        <x:v>2025-10 / 2026-09</x:v>
      </x:c>
      <x:c r="F86" s="18" t="str">
        <x:v>Global · sin filtro de idioma</x:v>
      </x:c>
      <x:c r="G86" s="18" t="str">
        <x:v>search_volume</x:v>
      </x:c>
      <x:c r="H86" s="18" t="str">
        <x:v>global-candidates.json</x:v>
      </x:c>
      <x:c r="I86" s="18" t="str">
        <x:v>10181909-1949-0367-0000-d6f424f63198</x:v>
      </x:c>
      <x:c r="J86" s="18" t="str">
        <x:v>No</x:v>
      </x:c>
    </x:row>
    <x:row r="87" ht="34" customHeight="1">
      <x:c r="A87" s="18" t="str">
        <x:v>font-identifier</x:v>
      </x:c>
      <x:c r="B87" s="18" t="str">
        <x:v>font identifier</x:v>
      </x:c>
      <x:c r="C87" s="19" t="n">
        <x:v>110000</x:v>
      </x:c>
      <x:c r="D87" s="18" t="str">
        <x:v>No</x:v>
      </x:c>
      <x:c r="E87" s="18" t="str">
        <x:v>2025-10 / 2026-09</x:v>
      </x:c>
      <x:c r="F87" s="18" t="str">
        <x:v>Global · sin filtro de idioma</x:v>
      </x:c>
      <x:c r="G87" s="18" t="str">
        <x:v>search_volume</x:v>
      </x:c>
      <x:c r="H87" s="18" t="str">
        <x:v>global-candidates.json</x:v>
      </x:c>
      <x:c r="I87" s="18" t="str">
        <x:v>10181909-1949-0367-0000-d6f424f63198</x:v>
      </x:c>
      <x:c r="J87" s="18" t="str">
        <x:v>No</x:v>
      </x:c>
    </x:row>
    <x:row r="88" ht="34" customHeight="1">
      <x:c r="A88" s="18" t="str">
        <x:v>font-identifier</x:v>
      </x:c>
      <x:c r="B88" s="18" t="str">
        <x:v>identify font</x:v>
      </x:c>
      <x:c r="C88" s="19" t="n">
        <x:v>110000</x:v>
      </x:c>
      <x:c r="D88" s="18" t="str">
        <x:v>No</x:v>
      </x:c>
      <x:c r="E88" s="18" t="str">
        <x:v>2025-10 / 2026-09</x:v>
      </x:c>
      <x:c r="F88" s="18" t="str">
        <x:v>Global · sin filtro de idioma</x:v>
      </x:c>
      <x:c r="G88" s="18" t="str">
        <x:v>search_volume</x:v>
      </x:c>
      <x:c r="H88" s="18" t="str">
        <x:v>global-candidates.json</x:v>
      </x:c>
      <x:c r="I88" s="18" t="str">
        <x:v>10181909-1949-0367-0000-d6f424f63198</x:v>
      </x:c>
      <x:c r="J88" s="18" t="str">
        <x:v>No</x:v>
      </x:c>
    </x:row>
    <x:row r="89" ht="34" customHeight="1">
      <x:c r="A89" s="18" t="str">
        <x:v>font-identifier</x:v>
      </x:c>
      <x:c r="B89" s="18" t="str">
        <x:v>font identifier</x:v>
      </x:c>
      <x:c r="C89" s="19" t="n">
        <x:v>110000</x:v>
      </x:c>
      <x:c r="D89" s="18" t="str">
        <x:v>No</x:v>
      </x:c>
      <x:c r="E89" s="18" t="str">
        <x:v>2025-10 / 2026-09</x:v>
      </x:c>
      <x:c r="F89" s="18" t="str">
        <x:v>Global · sin filtro de idioma</x:v>
      </x:c>
      <x:c r="G89" s="18" t="str">
        <x:v>search_volume</x:v>
      </x:c>
      <x:c r="H89" s="18" t="str">
        <x:v>global-candidates.json</x:v>
      </x:c>
      <x:c r="I89" s="18" t="str">
        <x:v>10181909-1949-0367-0000-d6f424f63198</x:v>
      </x:c>
      <x:c r="J89" s="18" t="str">
        <x:v>No</x:v>
      </x:c>
    </x:row>
    <x:row r="90" ht="34" customHeight="1">
      <x:c r="A90" s="18" t="str">
        <x:v>comic-maker</x:v>
      </x:c>
      <x:c r="B90" s="18" t="str">
        <x:v>comic maker</x:v>
      </x:c>
      <x:c r="C90" s="19" t="n">
        <x:v>12100</x:v>
      </x:c>
      <x:c r="D90" s="18" t="str">
        <x:v>Sí</x:v>
      </x:c>
      <x:c r="E90" s="18" t="str">
        <x:v>2025-10 / 2026-09</x:v>
      </x:c>
      <x:c r="F90" s="18" t="str">
        <x:v>Global · sin filtro de idioma</x:v>
      </x:c>
      <x:c r="G90" s="18" t="str">
        <x:v>search_volume</x:v>
      </x:c>
      <x:c r="H90" s="18" t="str">
        <x:v>global-candidates.json</x:v>
      </x:c>
      <x:c r="I90" s="18" t="str">
        <x:v>10181909-1949-0367-0000-d6f424f63198</x:v>
      </x:c>
      <x:c r="J90" s="18" t="str">
        <x:v>No</x:v>
      </x:c>
    </x:row>
    <x:row r="91" ht="34" customHeight="1">
      <x:c r="A91" s="18" t="str">
        <x:v>comic-maker</x:v>
      </x:c>
      <x:c r="B91" s="18" t="str">
        <x:v>crear comic</x:v>
      </x:c>
      <x:c r="C91" s="19" t="n">
        <x:v>3600</x:v>
      </x:c>
      <x:c r="D91" s="18" t="str">
        <x:v>No</x:v>
      </x:c>
      <x:c r="E91" s="18" t="str">
        <x:v>2025-10 / 2026-09</x:v>
      </x:c>
      <x:c r="F91" s="18" t="str">
        <x:v>Global · sin filtro de idioma</x:v>
      </x:c>
      <x:c r="G91" s="18" t="str">
        <x:v>search_volume</x:v>
      </x:c>
      <x:c r="H91" s="18" t="str">
        <x:v>global-candidates.json</x:v>
      </x:c>
      <x:c r="I91" s="18" t="str">
        <x:v>10181909-1949-0367-0000-d6f424f63198</x:v>
      </x:c>
      <x:c r="J91" s="18" t="str">
        <x:v>No</x:v>
      </x:c>
    </x:row>
    <x:row r="92" ht="34" customHeight="1">
      <x:c r="A92" s="18" t="str">
        <x:v>comic-maker</x:v>
      </x:c>
      <x:c r="B92" s="18" t="str">
        <x:v>comic strip maker</x:v>
      </x:c>
      <x:c r="C92" s="19" t="n">
        <x:v>9900</x:v>
      </x:c>
      <x:c r="D92" s="18" t="str">
        <x:v>No</x:v>
      </x:c>
      <x:c r="E92" s="18" t="str">
        <x:v>2025-10 / 2026-09</x:v>
      </x:c>
      <x:c r="F92" s="18" t="str">
        <x:v>Global · sin filtro de idioma</x:v>
      </x:c>
      <x:c r="G92" s="18" t="str">
        <x:v>search_volume</x:v>
      </x:c>
      <x:c r="H92" s="18" t="str">
        <x:v>global-candidates.json</x:v>
      </x:c>
      <x:c r="I92" s="18" t="str">
        <x:v>10181909-1949-0367-0000-d6f424f63198</x:v>
      </x:c>
      <x:c r="J92" s="18" t="str">
        <x:v>No</x:v>
      </x:c>
    </x:row>
    <x:row r="93" ht="34" customHeight="1">
      <x:c r="A93" s="18" t="str">
        <x:v>storyboard-maker</x:v>
      </x:c>
      <x:c r="B93" s="18" t="str">
        <x:v>storyboard maker</x:v>
      </x:c>
      <x:c r="C93" s="19" t="n">
        <x:v>5400</x:v>
      </x:c>
      <x:c r="D93" s="18" t="str">
        <x:v>Sí</x:v>
      </x:c>
      <x:c r="E93" s="18" t="str">
        <x:v>2025-10 / 2026-09</x:v>
      </x:c>
      <x:c r="F93" s="18" t="str">
        <x:v>Global · sin filtro de idioma</x:v>
      </x:c>
      <x:c r="G93" s="18" t="str">
        <x:v>search_volume</x:v>
      </x:c>
      <x:c r="H93" s="18" t="str">
        <x:v>global-candidates.json</x:v>
      </x:c>
      <x:c r="I93" s="18" t="str">
        <x:v>10181909-1949-0367-0000-d6f424f63198</x:v>
      </x:c>
      <x:c r="J93" s="18" t="str">
        <x:v>No</x:v>
      </x:c>
    </x:row>
    <x:row r="94" ht="34" customHeight="1">
      <x:c r="A94" s="18" t="str">
        <x:v>storyboard-maker</x:v>
      </x:c>
      <x:c r="B94" s="18" t="str">
        <x:v>storyboard creator</x:v>
      </x:c>
      <x:c r="C94" s="19" t="n">
        <x:v>3600</x:v>
      </x:c>
      <x:c r="D94" s="18" t="str">
        <x:v>No</x:v>
      </x:c>
      <x:c r="E94" s="18" t="str">
        <x:v>2025-10 / 2026-09</x:v>
      </x:c>
      <x:c r="F94" s="18" t="str">
        <x:v>Global · sin filtro de idioma</x:v>
      </x:c>
      <x:c r="G94" s="18" t="str">
        <x:v>search_volume</x:v>
      </x:c>
      <x:c r="H94" s="18" t="str">
        <x:v>global-candidates.json</x:v>
      </x:c>
      <x:c r="I94" s="18" t="str">
        <x:v>10181909-1949-0367-0000-d6f424f63198</x:v>
      </x:c>
      <x:c r="J94" s="18" t="str">
        <x:v>No</x:v>
      </x:c>
    </x:row>
    <x:row r="95" ht="34" customHeight="1">
      <x:c r="A95" s="18" t="str">
        <x:v>storyboard-maker</x:v>
      </x:c>
      <x:c r="B95" s="18" t="str">
        <x:v>crear storyboard</x:v>
      </x:c>
      <x:c r="C95" s="19" t="n">
        <x:v>170</x:v>
      </x:c>
      <x:c r="D95" s="18" t="str">
        <x:v>No</x:v>
      </x:c>
      <x:c r="E95" s="18" t="str">
        <x:v>2025-10 / 2026-09</x:v>
      </x:c>
      <x:c r="F95" s="18" t="str">
        <x:v>Global · sin filtro de idioma</x:v>
      </x:c>
      <x:c r="G95" s="18" t="str">
        <x:v>search_volume</x:v>
      </x:c>
      <x:c r="H95" s="18" t="str">
        <x:v>global-candidates.json</x:v>
      </x:c>
      <x:c r="I95" s="18" t="str">
        <x:v>10181909-1949-0367-0000-d6f424f63198</x:v>
      </x:c>
      <x:c r="J95" s="18" t="str">
        <x:v>No</x:v>
      </x:c>
    </x:row>
    <x:row r="96" ht="34" customHeight="1">
      <x:c r="A96" s="18" t="str">
        <x:v>flipbook-animator</x:v>
      </x:c>
      <x:c r="B96" s="18" t="str">
        <x:v>animation maker</x:v>
      </x:c>
      <x:c r="C96" s="19" t="n">
        <x:v>49500</x:v>
      </x:c>
      <x:c r="D96" s="18" t="str">
        <x:v>Sí</x:v>
      </x:c>
      <x:c r="E96" s="18" t="str">
        <x:v>2025-10 / 2026-09</x:v>
      </x:c>
      <x:c r="F96" s="18" t="str">
        <x:v>Global · sin filtro de idioma</x:v>
      </x:c>
      <x:c r="G96" s="18" t="str">
        <x:v>search_volume</x:v>
      </x:c>
      <x:c r="H96" s="18" t="str">
        <x:v>global-candidates.json</x:v>
      </x:c>
      <x:c r="I96" s="18" t="str">
        <x:v>10181909-1949-0367-0000-d6f424f63198</x:v>
      </x:c>
      <x:c r="J96" s="18" t="str">
        <x:v>No</x:v>
      </x:c>
    </x:row>
    <x:row r="97" ht="34" customHeight="1">
      <x:c r="A97" s="18" t="str">
        <x:v>flipbook-animator</x:v>
      </x:c>
      <x:c r="B97" s="18" t="str">
        <x:v>flipbook animation</x:v>
      </x:c>
      <x:c r="C97" s="19" t="n">
        <x:v>8100</x:v>
      </x:c>
      <x:c r="D97" s="18" t="str">
        <x:v>No</x:v>
      </x:c>
      <x:c r="E97" s="18" t="str">
        <x:v>2025-10 / 2026-09</x:v>
      </x:c>
      <x:c r="F97" s="18" t="str">
        <x:v>Global · sin filtro de idioma</x:v>
      </x:c>
      <x:c r="G97" s="18" t="str">
        <x:v>search_volume</x:v>
      </x:c>
      <x:c r="H97" s="18" t="str">
        <x:v>global-candidates.json</x:v>
      </x:c>
      <x:c r="I97" s="18" t="str">
        <x:v>10181909-1949-0367-0000-d6f424f63198</x:v>
      </x:c>
      <x:c r="J97" s="18" t="str">
        <x:v>No</x:v>
      </x:c>
    </x:row>
    <x:row r="98" ht="34" customHeight="1">
      <x:c r="A98" s="18" t="str">
        <x:v>flipbook-animator</x:v>
      </x:c>
      <x:c r="B98" s="18" t="str">
        <x:v>animacion online</x:v>
      </x:c>
      <x:c r="C98" s="19" t="n">
        <x:v>210</x:v>
      </x:c>
      <x:c r="D98" s="18" t="str">
        <x:v>No</x:v>
      </x:c>
      <x:c r="E98" s="18" t="str">
        <x:v>2025-10 / 2026-09</x:v>
      </x:c>
      <x:c r="F98" s="18" t="str">
        <x:v>Global · sin filtro de idioma</x:v>
      </x:c>
      <x:c r="G98" s="18" t="str">
        <x:v>search_volume</x:v>
      </x:c>
      <x:c r="H98" s="18" t="str">
        <x:v>global-candidates.json</x:v>
      </x:c>
      <x:c r="I98" s="18" t="str">
        <x:v>10181909-1949-0367-0000-d6f424f63198</x:v>
      </x:c>
      <x:c r="J98" s="18" t="str">
        <x:v>No</x:v>
      </x:c>
    </x:row>
    <x:row r="99" ht="34" customHeight="1">
      <x:c r="A99" s="18" t="str">
        <x:v>photo-restoration</x:v>
      </x:c>
      <x:c r="B99" s="18" t="str">
        <x:v>photo restoration</x:v>
      </x:c>
      <x:c r="C99" s="19" t="n">
        <x:v>22200</x:v>
      </x:c>
      <x:c r="D99" s="18" t="str">
        <x:v>No</x:v>
      </x:c>
      <x:c r="E99" s="18" t="str">
        <x:v>2025-10 / 2026-09</x:v>
      </x:c>
      <x:c r="F99" s="18" t="str">
        <x:v>Global · sin filtro de idioma</x:v>
      </x:c>
      <x:c r="G99" s="18" t="str">
        <x:v>search_volume</x:v>
      </x:c>
      <x:c r="H99" s="18" t="str">
        <x:v>global-initial-screen.json</x:v>
      </x:c>
      <x:c r="I99" s="18" t="str">
        <x:v>10181645-1949-0367-0000-721aab5cac1a</x:v>
      </x:c>
      <x:c r="J99" s="18" t="str">
        <x:v>No</x:v>
      </x:c>
    </x:row>
    <x:row r="100" ht="34" customHeight="1">
      <x:c r="A100" s="18" t="str">
        <x:v>photo-restoration</x:v>
      </x:c>
      <x:c r="B100" s="18" t="str">
        <x:v>restore old photos</x:v>
      </x:c>
      <x:c r="C100" s="19" t="n">
        <x:v>33100</x:v>
      </x:c>
      <x:c r="D100" s="18" t="str">
        <x:v>Sí</x:v>
      </x:c>
      <x:c r="E100" s="18" t="str">
        <x:v>2025-10 / 2026-09</x:v>
      </x:c>
      <x:c r="F100" s="18" t="str">
        <x:v>Global · sin filtro de idioma</x:v>
      </x:c>
      <x:c r="G100" s="18" t="str">
        <x:v>search_volume</x:v>
      </x:c>
      <x:c r="H100" s="18" t="str">
        <x:v>global-candidates.json</x:v>
      </x:c>
      <x:c r="I100" s="18" t="str">
        <x:v>10181909-1949-0367-0000-d6f424f63198</x:v>
      </x:c>
      <x:c r="J100" s="18" t="str">
        <x:v>No</x:v>
      </x:c>
    </x:row>
    <x:row r="101" ht="34" customHeight="1">
      <x:c r="A101" s="18" t="str">
        <x:v>photo-restoration</x:v>
      </x:c>
      <x:c r="B101" s="18" t="str">
        <x:v>restaurar fotos antiguas</x:v>
      </x:c>
      <x:c r="C101" s="19" t="n">
        <x:v>9900</x:v>
      </x:c>
      <x:c r="D101" s="18" t="str">
        <x:v>No</x:v>
      </x:c>
      <x:c r="E101" s="18" t="str">
        <x:v>2025-10 / 2026-09</x:v>
      </x:c>
      <x:c r="F101" s="18" t="str">
        <x:v>Global · sin filtro de idioma</x:v>
      </x:c>
      <x:c r="G101" s="18" t="str">
        <x:v>search_volume</x:v>
      </x:c>
      <x:c r="H101" s="18" t="str">
        <x:v>global-candidates.json</x:v>
      </x:c>
      <x:c r="I101" s="18" t="str">
        <x:v>10181909-1949-0367-0000-d6f424f63198</x:v>
      </x:c>
      <x:c r="J101" s="18" t="str">
        <x:v>No</x:v>
      </x:c>
    </x:row>
    <x:row r="102" ht="34" customHeight="1">
      <x:c r="A102" s="18" t="str">
        <x:v>object-remover</x:v>
      </x:c>
      <x:c r="B102" s="18" t="str">
        <x:v>object remover</x:v>
      </x:c>
      <x:c r="C102" s="19" t="n">
        <x:v>90500</x:v>
      </x:c>
      <x:c r="D102" s="18" t="str">
        <x:v>No</x:v>
      </x:c>
      <x:c r="E102" s="18" t="str">
        <x:v>2025-10 / 2026-09</x:v>
      </x:c>
      <x:c r="F102" s="18" t="str">
        <x:v>Global · sin filtro de idioma</x:v>
      </x:c>
      <x:c r="G102" s="18" t="str">
        <x:v>search_volume</x:v>
      </x:c>
      <x:c r="H102" s="18" t="str">
        <x:v>global-candidates.json</x:v>
      </x:c>
      <x:c r="I102" s="18" t="str">
        <x:v>10181909-1949-0367-0000-d6f424f63198</x:v>
      </x:c>
      <x:c r="J102" s="18" t="str">
        <x:v>No</x:v>
      </x:c>
    </x:row>
    <x:row r="103" ht="34" customHeight="1">
      <x:c r="A103" s="18" t="str">
        <x:v>object-remover</x:v>
      </x:c>
      <x:c r="B103" s="18" t="str">
        <x:v>remove object from photo</x:v>
      </x:c>
      <x:c r="C103" s="19" t="n">
        <x:v>135000</x:v>
      </x:c>
      <x:c r="D103" s="18" t="str">
        <x:v>Sí</x:v>
      </x:c>
      <x:c r="E103" s="18" t="str">
        <x:v>2025-10 / 2026-09</x:v>
      </x:c>
      <x:c r="F103" s="18" t="str">
        <x:v>Global · sin filtro de idioma</x:v>
      </x:c>
      <x:c r="G103" s="18" t="str">
        <x:v>search_volume</x:v>
      </x:c>
      <x:c r="H103" s="18" t="str">
        <x:v>global-candidates.json</x:v>
      </x:c>
      <x:c r="I103" s="18" t="str">
        <x:v>10181909-1949-0367-0000-d6f424f63198</x:v>
      </x:c>
      <x:c r="J103" s="18" t="str">
        <x:v>No</x:v>
      </x:c>
    </x:row>
    <x:row r="104" ht="34" customHeight="1">
      <x:c r="A104" s="18" t="str">
        <x:v>object-remover</x:v>
      </x:c>
      <x:c r="B104" s="18" t="str">
        <x:v>borrar objetos de fotos</x:v>
      </x:c>
      <x:c r="C104" s="19" t="n">
        <x:v>14800</x:v>
      </x:c>
      <x:c r="D104" s="18" t="str">
        <x:v>No</x:v>
      </x:c>
      <x:c r="E104" s="18" t="str">
        <x:v>2025-10 / 2026-09</x:v>
      </x:c>
      <x:c r="F104" s="18" t="str">
        <x:v>Global · sin filtro de idioma</x:v>
      </x:c>
      <x:c r="G104" s="18" t="str">
        <x:v>search_volume</x:v>
      </x:c>
      <x:c r="H104" s="18" t="str">
        <x:v>global-candidates.json</x:v>
      </x:c>
      <x:c r="I104" s="18" t="str">
        <x:v>10181909-1949-0367-0000-d6f424f63198</x:v>
      </x:c>
      <x:c r="J104" s="18" t="str">
        <x:v>No</x:v>
      </x:c>
    </x:row>
    <x:row r="105" ht="34" customHeight="1">
      <x:c r="A105" s="18" t="str">
        <x:v>panorama-stitcher</x:v>
      </x:c>
      <x:c r="B105" s="18" t="str">
        <x:v>panorama stitcher</x:v>
      </x:c>
      <x:c r="C105" s="19" t="n">
        <x:v>720</x:v>
      </x:c>
      <x:c r="D105" s="18" t="str">
        <x:v>No</x:v>
      </x:c>
      <x:c r="E105" s="18" t="str">
        <x:v>2025-10 / 2026-09</x:v>
      </x:c>
      <x:c r="F105" s="18" t="str">
        <x:v>Global · sin filtro de idioma</x:v>
      </x:c>
      <x:c r="G105" s="18" t="str">
        <x:v>search_volume</x:v>
      </x:c>
      <x:c r="H105" s="18" t="str">
        <x:v>global-candidates.json</x:v>
      </x:c>
      <x:c r="I105" s="18" t="str">
        <x:v>10181909-1949-0367-0000-d6f424f63198</x:v>
      </x:c>
      <x:c r="J105" s="18" t="str">
        <x:v>No</x:v>
      </x:c>
    </x:row>
    <x:row r="106" ht="34" customHeight="1">
      <x:c r="A106" s="18" t="str">
        <x:v>panorama-stitcher</x:v>
      </x:c>
      <x:c r="B106" s="18" t="str">
        <x:v>stitch photos</x:v>
      </x:c>
      <x:c r="C106" s="19" t="n">
        <x:v>12100</x:v>
      </x:c>
      <x:c r="D106" s="18" t="str">
        <x:v>Sí</x:v>
      </x:c>
      <x:c r="E106" s="18" t="str">
        <x:v>2025-10 / 2026-09</x:v>
      </x:c>
      <x:c r="F106" s="18" t="str">
        <x:v>Global · sin filtro de idioma</x:v>
      </x:c>
      <x:c r="G106" s="18" t="str">
        <x:v>search_volume</x:v>
      </x:c>
      <x:c r="H106" s="18" t="str">
        <x:v>global-candidates.json</x:v>
      </x:c>
      <x:c r="I106" s="18" t="str">
        <x:v>10181909-1949-0367-0000-d6f424f63198</x:v>
      </x:c>
      <x:c r="J106" s="18" t="str">
        <x:v>No</x:v>
      </x:c>
    </x:row>
    <x:row r="107" ht="34" customHeight="1">
      <x:c r="A107" s="18" t="str">
        <x:v>panorama-stitcher</x:v>
      </x:c>
      <x:c r="B107" s="18" t="str">
        <x:v>unir fotos panoramicas</x:v>
      </x:c>
      <x:c r="C107" s="19" t="n">
        <x:v>10</x:v>
      </x:c>
      <x:c r="D107" s="18" t="str">
        <x:v>No</x:v>
      </x:c>
      <x:c r="E107" s="18" t="str">
        <x:v>2025-10 / 2026-09</x:v>
      </x:c>
      <x:c r="F107" s="18" t="str">
        <x:v>Global · sin filtro de idioma</x:v>
      </x:c>
      <x:c r="G107" s="18" t="str">
        <x:v>search_volume</x:v>
      </x:c>
      <x:c r="H107" s="18" t="str">
        <x:v>global-candidates.json</x:v>
      </x:c>
      <x:c r="I107" s="18" t="str">
        <x:v>10181909-1949-0367-0000-d6f424f63198</x:v>
      </x:c>
      <x:c r="J107" s="18" t="str">
        <x:v>No</x:v>
      </x:c>
    </x:row>
    <x:row r="108" ht="34" customHeight="1">
      <x:c r="A108" s="18" t="str">
        <x:v>focus-stacker</x:v>
      </x:c>
      <x:c r="B108" s="18" t="str">
        <x:v>focus stacking</x:v>
      </x:c>
      <x:c r="C108" s="19" t="n">
        <x:v>6600</x:v>
      </x:c>
      <x:c r="D108" s="18" t="str">
        <x:v>Sí</x:v>
      </x:c>
      <x:c r="E108" s="18" t="str">
        <x:v>2025-10 / 2026-09</x:v>
      </x:c>
      <x:c r="F108" s="18" t="str">
        <x:v>Global · sin filtro de idioma</x:v>
      </x:c>
      <x:c r="G108" s="18" t="str">
        <x:v>search_volume</x:v>
      </x:c>
      <x:c r="H108" s="18" t="str">
        <x:v>global-candidates.json</x:v>
      </x:c>
      <x:c r="I108" s="18" t="str">
        <x:v>10181909-1949-0367-0000-d6f424f63198</x:v>
      </x:c>
      <x:c r="J108" s="18" t="str">
        <x:v>No</x:v>
      </x:c>
    </x:row>
    <x:row r="109" ht="34" customHeight="1">
      <x:c r="A109" s="18" t="str">
        <x:v>focus-stacker</x:v>
      </x:c>
      <x:c r="B109" s="18" t="str">
        <x:v>focus stacker</x:v>
      </x:c>
      <x:c r="C109" s="19" t="n">
        <x:v>6600</x:v>
      </x:c>
      <x:c r="D109" s="18" t="str">
        <x:v>No</x:v>
      </x:c>
      <x:c r="E109" s="18" t="str">
        <x:v>2025-10 / 2026-09</x:v>
      </x:c>
      <x:c r="F109" s="18" t="str">
        <x:v>Global · sin filtro de idioma</x:v>
      </x:c>
      <x:c r="G109" s="18" t="str">
        <x:v>search_volume</x:v>
      </x:c>
      <x:c r="H109" s="18" t="str">
        <x:v>global-candidates.json</x:v>
      </x:c>
      <x:c r="I109" s="18" t="str">
        <x:v>10181909-1949-0367-0000-d6f424f63198</x:v>
      </x:c>
      <x:c r="J109" s="18" t="str">
        <x:v>No</x:v>
      </x:c>
    </x:row>
    <x:row r="110" ht="34" customHeight="1">
      <x:c r="A110" s="18" t="str">
        <x:v>focus-stacker</x:v>
      </x:c>
      <x:c r="B110" s="18" t="str">
        <x:v>apilado de enfoque</x:v>
      </x:c>
      <x:c r="C110" s="19" t="n">
        <x:v>20</x:v>
      </x:c>
      <x:c r="D110" s="18" t="str">
        <x:v>No</x:v>
      </x:c>
      <x:c r="E110" s="18" t="str">
        <x:v>2025-10 / 2026-09</x:v>
      </x:c>
      <x:c r="F110" s="18" t="str">
        <x:v>Global · sin filtro de idioma</x:v>
      </x:c>
      <x:c r="G110" s="18" t="str">
        <x:v>search_volume</x:v>
      </x:c>
      <x:c r="H110" s="18" t="str">
        <x:v>global-candidates.json</x:v>
      </x:c>
      <x:c r="I110" s="18" t="str">
        <x:v>10181909-1949-0367-0000-d6f424f63198</x:v>
      </x:c>
      <x:c r="J110" s="18" t="str">
        <x:v>No</x:v>
      </x:c>
    </x:row>
    <x:row r="111" ht="34" customHeight="1">
      <x:c r="A111" s="18" t="str">
        <x:v>hdr-merger</x:v>
      </x:c>
      <x:c r="B111" s="18" t="str">
        <x:v>hdr merge</x:v>
      </x:c>
      <x:c r="C111" s="19" t="n">
        <x:v>880</x:v>
      </x:c>
      <x:c r="D111" s="18" t="str">
        <x:v>No</x:v>
      </x:c>
      <x:c r="E111" s="18" t="str">
        <x:v>2025-10 / 2026-09</x:v>
      </x:c>
      <x:c r="F111" s="18" t="str">
        <x:v>Global · sin filtro de idioma</x:v>
      </x:c>
      <x:c r="G111" s="18" t="str">
        <x:v>search_volume</x:v>
      </x:c>
      <x:c r="H111" s="18" t="str">
        <x:v>global-candidates.json</x:v>
      </x:c>
      <x:c r="I111" s="18" t="str">
        <x:v>10181909-1949-0367-0000-d6f424f63198</x:v>
      </x:c>
      <x:c r="J111" s="18" t="str">
        <x:v>No</x:v>
      </x:c>
    </x:row>
    <x:row r="112" ht="34" customHeight="1">
      <x:c r="A112" s="18" t="str">
        <x:v>hdr-merger</x:v>
      </x:c>
      <x:c r="B112" s="18" t="str">
        <x:v>hdr software</x:v>
      </x:c>
      <x:c r="C112" s="19" t="n">
        <x:v>590</x:v>
      </x:c>
      <x:c r="D112" s="18" t="str">
        <x:v>No</x:v>
      </x:c>
      <x:c r="E112" s="18" t="str">
        <x:v>2025-10 / 2026-09</x:v>
      </x:c>
      <x:c r="F112" s="18" t="str">
        <x:v>Global · sin filtro de idioma</x:v>
      </x:c>
      <x:c r="G112" s="18" t="str">
        <x:v>search_volume</x:v>
      </x:c>
      <x:c r="H112" s="18" t="str">
        <x:v>global-candidates.json</x:v>
      </x:c>
      <x:c r="I112" s="18" t="str">
        <x:v>10181909-1949-0367-0000-d6f424f63198</x:v>
      </x:c>
      <x:c r="J112" s="18" t="str">
        <x:v>No</x:v>
      </x:c>
    </x:row>
    <x:row r="113" ht="34" customHeight="1">
      <x:c r="A113" s="18" t="str">
        <x:v>hdr-merger</x:v>
      </x:c>
      <x:c r="B113" s="18" t="str">
        <x:v>hdr photo</x:v>
      </x:c>
      <x:c r="C113" s="19" t="n">
        <x:v>8100</x:v>
      </x:c>
      <x:c r="D113" s="18" t="str">
        <x:v>Sí</x:v>
      </x:c>
      <x:c r="E113" s="18" t="str">
        <x:v>2025-10 / 2026-09</x:v>
      </x:c>
      <x:c r="F113" s="18" t="str">
        <x:v>Global · sin filtro de idioma</x:v>
      </x:c>
      <x:c r="G113" s="18" t="str">
        <x:v>search_volume</x:v>
      </x:c>
      <x:c r="H113" s="18" t="str">
        <x:v>global-candidates.json</x:v>
      </x:c>
      <x:c r="I113" s="18" t="str">
        <x:v>10181909-1949-0367-0000-d6f424f63198</x:v>
      </x:c>
      <x:c r="J113" s="18" t="str">
        <x:v>No</x:v>
      </x:c>
    </x:row>
    <x:row r="114" ht="34" customHeight="1">
      <x:c r="A114" s="18" t="str">
        <x:v>perspective-corrector</x:v>
      </x:c>
      <x:c r="B114" s="18" t="str">
        <x:v>perspective correction</x:v>
      </x:c>
      <x:c r="C114" s="19" t="n">
        <x:v>590</x:v>
      </x:c>
      <x:c r="D114" s="18" t="str">
        <x:v>No</x:v>
      </x:c>
      <x:c r="E114" s="18" t="str">
        <x:v>2025-10 / 2026-09</x:v>
      </x:c>
      <x:c r="F114" s="18" t="str">
        <x:v>Global · sin filtro de idioma</x:v>
      </x:c>
      <x:c r="G114" s="18" t="str">
        <x:v>search_volume</x:v>
      </x:c>
      <x:c r="H114" s="18" t="str">
        <x:v>global-candidates.json</x:v>
      </x:c>
      <x:c r="I114" s="18" t="str">
        <x:v>10181909-1949-0367-0000-d6f424f63198</x:v>
      </x:c>
      <x:c r="J114" s="18" t="str">
        <x:v>No</x:v>
      </x:c>
    </x:row>
    <x:row r="115" ht="34" customHeight="1">
      <x:c r="A115" s="18" t="str">
        <x:v>perspective-corrector</x:v>
      </x:c>
      <x:c r="B115" s="18" t="str">
        <x:v>perspective tool</x:v>
      </x:c>
      <x:c r="C115" s="19" t="n">
        <x:v>1000</x:v>
      </x:c>
      <x:c r="D115" s="18" t="str">
        <x:v>Sí</x:v>
      </x:c>
      <x:c r="E115" s="18" t="str">
        <x:v>2025-10 / 2026-09</x:v>
      </x:c>
      <x:c r="F115" s="18" t="str">
        <x:v>Global · sin filtro de idioma</x:v>
      </x:c>
      <x:c r="G115" s="18" t="str">
        <x:v>search_volume</x:v>
      </x:c>
      <x:c r="H115" s="18" t="str">
        <x:v>global-candidates.json</x:v>
      </x:c>
      <x:c r="I115" s="18" t="str">
        <x:v>10181909-1949-0367-0000-d6f424f63198</x:v>
      </x:c>
      <x:c r="J115" s="18" t="str">
        <x:v>No</x:v>
      </x:c>
    </x:row>
    <x:row r="116" ht="34" customHeight="1">
      <x:c r="A116" s="18" t="str">
        <x:v>perspective-corrector</x:v>
      </x:c>
      <x:c r="B116" s="18" t="str">
        <x:v>corregir perspectiva</x:v>
      </x:c>
      <x:c r="C116" s="19" t="n">
        <x:v>10</x:v>
      </x:c>
      <x:c r="D116" s="18" t="str">
        <x:v>No</x:v>
      </x:c>
      <x:c r="E116" s="18" t="str">
        <x:v>2025-10 / 2026-09</x:v>
      </x:c>
      <x:c r="F116" s="18" t="str">
        <x:v>Global · sin filtro de idioma</x:v>
      </x:c>
      <x:c r="G116" s="18" t="str">
        <x:v>search_volume</x:v>
      </x:c>
      <x:c r="H116" s="18" t="str">
        <x:v>global-candidates.json</x:v>
      </x:c>
      <x:c r="I116" s="18" t="str">
        <x:v>10181909-1949-0367-0000-d6f424f63198</x:v>
      </x:c>
      <x:c r="J116" s="18" t="str">
        <x:v>No</x:v>
      </x:c>
    </x:row>
    <x:row r="117" ht="34" customHeight="1">
      <x:c r="A117" s="18" t="str">
        <x:v>lens-distortion-corrector</x:v>
      </x:c>
      <x:c r="B117" s="18" t="str">
        <x:v>lens distortion correction</x:v>
      </x:c>
      <x:c r="C117" s="19" t="n">
        <x:v>880</x:v>
      </x:c>
      <x:c r="D117" s="18" t="str">
        <x:v>Sí</x:v>
      </x:c>
      <x:c r="E117" s="18" t="str">
        <x:v>2025-10 / 2026-09</x:v>
      </x:c>
      <x:c r="F117" s="18" t="str">
        <x:v>Global · sin filtro de idioma</x:v>
      </x:c>
      <x:c r="G117" s="18" t="str">
        <x:v>search_volume</x:v>
      </x:c>
      <x:c r="H117" s="18" t="str">
        <x:v>global-candidates.json</x:v>
      </x:c>
      <x:c r="I117" s="18" t="str">
        <x:v>10181909-1949-0367-0000-d6f424f63198</x:v>
      </x:c>
      <x:c r="J117" s="18" t="str">
        <x:v>No</x:v>
      </x:c>
    </x:row>
    <x:row r="118" ht="34" customHeight="1">
      <x:c r="A118" s="18" t="str">
        <x:v>lens-distortion-corrector</x:v>
      </x:c>
      <x:c r="B118" s="18" t="str">
        <x:v>defish image</x:v>
      </x:c>
      <x:c r="C118" s="19" t="str">
        <x:v>n.a.</x:v>
      </x:c>
      <x:c r="D118" s="18" t="str">
        <x:v>No</x:v>
      </x:c>
      <x:c r="E118" s="18" t="str">
        <x:v>n.a.</x:v>
      </x:c>
      <x:c r="F118" s="18" t="str">
        <x:v>Global · sin filtro de idioma</x:v>
      </x:c>
      <x:c r="G118" s="18" t="str">
        <x:v>search_volume</x:v>
      </x:c>
      <x:c r="H118" s="18" t="str">
        <x:v>global-candidates.json</x:v>
      </x:c>
      <x:c r="I118" s="18" t="str">
        <x:v>10181909-1949-0367-0000-d6f424f63198</x:v>
      </x:c>
      <x:c r="J118" s="18" t="str">
        <x:v>No</x:v>
      </x:c>
    </x:row>
    <x:row r="119" ht="34" customHeight="1">
      <x:c r="A119" s="18" t="str">
        <x:v>lens-distortion-corrector</x:v>
      </x:c>
      <x:c r="B119" s="18" t="str">
        <x:v>corregir ojo de pez</x:v>
      </x:c>
      <x:c r="C119" s="19" t="n">
        <x:v>10</x:v>
      </x:c>
      <x:c r="D119" s="18" t="str">
        <x:v>No</x:v>
      </x:c>
      <x:c r="E119" s="18" t="str">
        <x:v>2025-10 / 2026-09</x:v>
      </x:c>
      <x:c r="F119" s="18" t="str">
        <x:v>Global · sin filtro de idioma</x:v>
      </x:c>
      <x:c r="G119" s="18" t="str">
        <x:v>search_volume</x:v>
      </x:c>
      <x:c r="H119" s="18" t="str">
        <x:v>global-candidates.json</x:v>
      </x:c>
      <x:c r="I119" s="18" t="str">
        <x:v>10181909-1949-0367-0000-d6f424f63198</x:v>
      </x:c>
      <x:c r="J119" s="18" t="str">
        <x:v>No</x:v>
      </x:c>
    </x:row>
    <x:row r="120" ht="34" customHeight="1">
      <x:c r="A120" s="18" t="str">
        <x:v>photosphere-viewer</x:v>
      </x:c>
      <x:c r="B120" s="18" t="str">
        <x:v>360 photo viewer</x:v>
      </x:c>
      <x:c r="C120" s="19" t="n">
        <x:v>1900</x:v>
      </x:c>
      <x:c r="D120" s="18" t="str">
        <x:v>No</x:v>
      </x:c>
      <x:c r="E120" s="18" t="str">
        <x:v>2025-10 / 2026-09</x:v>
      </x:c>
      <x:c r="F120" s="18" t="str">
        <x:v>Global · sin filtro de idioma</x:v>
      </x:c>
      <x:c r="G120" s="18" t="str">
        <x:v>search_volume</x:v>
      </x:c>
      <x:c r="H120" s="18" t="str">
        <x:v>global-candidates.json</x:v>
      </x:c>
      <x:c r="I120" s="18" t="str">
        <x:v>10181909-1949-0367-0000-d6f424f63198</x:v>
      </x:c>
      <x:c r="J120" s="18" t="str">
        <x:v>No</x:v>
      </x:c>
    </x:row>
    <x:row r="121" ht="34" customHeight="1">
      <x:c r="A121" s="18" t="str">
        <x:v>photosphere-viewer</x:v>
      </x:c>
      <x:c r="B121" s="18" t="str">
        <x:v>panorama viewer</x:v>
      </x:c>
      <x:c r="C121" s="19" t="n">
        <x:v>135000</x:v>
      </x:c>
      <x:c r="D121" s="18" t="str">
        <x:v>Sí</x:v>
      </x:c>
      <x:c r="E121" s="18" t="str">
        <x:v>2025-10 / 2026-09</x:v>
      </x:c>
      <x:c r="F121" s="18" t="str">
        <x:v>Global · sin filtro de idioma</x:v>
      </x:c>
      <x:c r="G121" s="18" t="str">
        <x:v>search_volume</x:v>
      </x:c>
      <x:c r="H121" s="18" t="str">
        <x:v>global-candidates.json</x:v>
      </x:c>
      <x:c r="I121" s="18" t="str">
        <x:v>10181909-1949-0367-0000-d6f424f63198</x:v>
      </x:c>
      <x:c r="J121" s="18" t="str">
        <x:v>No</x:v>
      </x:c>
    </x:row>
    <x:row r="122" ht="34" customHeight="1">
      <x:c r="A122" s="18" t="str">
        <x:v>photosphere-viewer</x:v>
      </x:c>
      <x:c r="B122" s="18" t="str">
        <x:v>photosphere viewer</x:v>
      </x:c>
      <x:c r="C122" s="19" t="n">
        <x:v>140</x:v>
      </x:c>
      <x:c r="D122" s="18" t="str">
        <x:v>No</x:v>
      </x:c>
      <x:c r="E122" s="18" t="str">
        <x:v>2025-10 / 2026-09</x:v>
      </x:c>
      <x:c r="F122" s="18" t="str">
        <x:v>Global · sin filtro de idioma</x:v>
      </x:c>
      <x:c r="G122" s="18" t="str">
        <x:v>search_volume</x:v>
      </x:c>
      <x:c r="H122" s="18" t="str">
        <x:v>global-candidates.json</x:v>
      </x:c>
      <x:c r="I122" s="18" t="str">
        <x:v>10181909-1949-0367-0000-d6f424f63198</x:v>
      </x:c>
      <x:c r="J122" s="18" t="str">
        <x:v>No</x:v>
      </x:c>
    </x:row>
    <x:row r="123" ht="34" customHeight="1">
      <x:c r="A123" s="18" t="str">
        <x:v>ebook-creator</x:v>
      </x:c>
      <x:c r="B123" s="18" t="str">
        <x:v>ebook creator</x:v>
      </x:c>
      <x:c r="C123" s="19" t="n">
        <x:v>6600</x:v>
      </x:c>
      <x:c r="D123" s="18" t="str">
        <x:v>Sí</x:v>
      </x:c>
      <x:c r="E123" s="18" t="str">
        <x:v>2025-10 / 2026-09</x:v>
      </x:c>
      <x:c r="F123" s="18" t="str">
        <x:v>Global · sin filtro de idioma</x:v>
      </x:c>
      <x:c r="G123" s="18" t="str">
        <x:v>search_volume</x:v>
      </x:c>
      <x:c r="H123" s="18" t="str">
        <x:v>global-candidates.json</x:v>
      </x:c>
      <x:c r="I123" s="18" t="str">
        <x:v>10181909-1949-0367-0000-d6f424f63198</x:v>
      </x:c>
      <x:c r="J123" s="18" t="str">
        <x:v>No</x:v>
      </x:c>
    </x:row>
    <x:row r="124" ht="34" customHeight="1">
      <x:c r="A124" s="18" t="str">
        <x:v>ebook-creator</x:v>
      </x:c>
      <x:c r="B124" s="18" t="str">
        <x:v>epub creator</x:v>
      </x:c>
      <x:c r="C124" s="19" t="n">
        <x:v>480</x:v>
      </x:c>
      <x:c r="D124" s="18" t="str">
        <x:v>No</x:v>
      </x:c>
      <x:c r="E124" s="18" t="str">
        <x:v>2025-10 / 2026-09</x:v>
      </x:c>
      <x:c r="F124" s="18" t="str">
        <x:v>Global · sin filtro de idioma</x:v>
      </x:c>
      <x:c r="G124" s="18" t="str">
        <x:v>search_volume</x:v>
      </x:c>
      <x:c r="H124" s="18" t="str">
        <x:v>global-candidates.json</x:v>
      </x:c>
      <x:c r="I124" s="18" t="str">
        <x:v>10181909-1949-0367-0000-d6f424f63198</x:v>
      </x:c>
      <x:c r="J124" s="18" t="str">
        <x:v>No</x:v>
      </x:c>
    </x:row>
    <x:row r="125" ht="34" customHeight="1">
      <x:c r="A125" s="18" t="str">
        <x:v>ebook-creator</x:v>
      </x:c>
      <x:c r="B125" s="18" t="str">
        <x:v>crear ebook</x:v>
      </x:c>
      <x:c r="C125" s="19" t="n">
        <x:v>320</x:v>
      </x:c>
      <x:c r="D125" s="18" t="str">
        <x:v>No</x:v>
      </x:c>
      <x:c r="E125" s="18" t="str">
        <x:v>2025-10 / 2026-09</x:v>
      </x:c>
      <x:c r="F125" s="18" t="str">
        <x:v>Global · sin filtro de idioma</x:v>
      </x:c>
      <x:c r="G125" s="18" t="str">
        <x:v>search_volume</x:v>
      </x:c>
      <x:c r="H125" s="18" t="str">
        <x:v>global-candidates.json</x:v>
      </x:c>
      <x:c r="I125" s="18" t="str">
        <x:v>10181909-1949-0367-0000-d6f424f63198</x:v>
      </x:c>
      <x:c r="J125" s="18" t="str">
        <x:v>No</x:v>
      </x:c>
    </x:row>
    <x:row r="126" ht="34" customHeight="1">
      <x:c r="A126" s="18" t="str">
        <x:v>presentation-maker</x:v>
      </x:c>
      <x:c r="B126" s="18" t="str">
        <x:v>presentation maker</x:v>
      </x:c>
      <x:c r="C126" s="19" t="n">
        <x:v>40500</x:v>
      </x:c>
      <x:c r="D126" s="18" t="str">
        <x:v>Sí</x:v>
      </x:c>
      <x:c r="E126" s="18" t="str">
        <x:v>2025-10 / 2026-09</x:v>
      </x:c>
      <x:c r="F126" s="18" t="str">
        <x:v>Global · sin filtro de idioma</x:v>
      </x:c>
      <x:c r="G126" s="18" t="str">
        <x:v>search_volume</x:v>
      </x:c>
      <x:c r="H126" s="18" t="str">
        <x:v>global-initial-screen.json</x:v>
      </x:c>
      <x:c r="I126" s="18" t="str">
        <x:v>10181645-1949-0367-0000-721aab5cac1a</x:v>
      </x:c>
      <x:c r="J126" s="18" t="str">
        <x:v>No</x:v>
      </x:c>
    </x:row>
    <x:row r="127" ht="34" customHeight="1">
      <x:c r="A127" s="18" t="str">
        <x:v>presentation-maker</x:v>
      </x:c>
      <x:c r="B127" s="18" t="str">
        <x:v>slideshow maker</x:v>
      </x:c>
      <x:c r="C127" s="19" t="n">
        <x:v>22200</x:v>
      </x:c>
      <x:c r="D127" s="18" t="str">
        <x:v>No</x:v>
      </x:c>
      <x:c r="E127" s="18" t="str">
        <x:v>2025-10 / 2026-09</x:v>
      </x:c>
      <x:c r="F127" s="18" t="str">
        <x:v>Global · sin filtro de idioma</x:v>
      </x:c>
      <x:c r="G127" s="18" t="str">
        <x:v>search_volume</x:v>
      </x:c>
      <x:c r="H127" s="18" t="str">
        <x:v>global-candidates.json</x:v>
      </x:c>
      <x:c r="I127" s="18" t="str">
        <x:v>10181909-1949-0367-0000-d6f424f63198</x:v>
      </x:c>
      <x:c r="J127" s="18" t="str">
        <x:v>No</x:v>
      </x:c>
    </x:row>
    <x:row r="128" ht="34" customHeight="1">
      <x:c r="A128" s="18" t="str">
        <x:v>presentation-maker</x:v>
      </x:c>
      <x:c r="B128" s="18" t="str">
        <x:v>crear presentaciones</x:v>
      </x:c>
      <x:c r="C128" s="19" t="n">
        <x:v>1900</x:v>
      </x:c>
      <x:c r="D128" s="18" t="str">
        <x:v>No</x:v>
      </x:c>
      <x:c r="E128" s="18" t="str">
        <x:v>2025-10 / 2026-09</x:v>
      </x:c>
      <x:c r="F128" s="18" t="str">
        <x:v>Global · sin filtro de idioma</x:v>
      </x:c>
      <x:c r="G128" s="18" t="str">
        <x:v>search_volume</x:v>
      </x:c>
      <x:c r="H128" s="18" t="str">
        <x:v>global-candidates.json</x:v>
      </x:c>
      <x:c r="I128" s="18" t="str">
        <x:v>10181909-1949-0367-0000-d6f424f63198</x:v>
      </x:c>
      <x:c r="J128" s="18" t="str">
        <x:v>No</x:v>
      </x:c>
    </x:row>
    <x:row r="129" ht="34" customHeight="1">
      <x:c r="A129" s="18" t="str">
        <x:v>calligraphy-worksheet</x:v>
      </x:c>
      <x:c r="B129" s="18" t="str">
        <x:v>calligraphy practice sheets</x:v>
      </x:c>
      <x:c r="C129" s="19" t="n">
        <x:v>8100</x:v>
      </x:c>
      <x:c r="D129" s="18" t="str">
        <x:v>No</x:v>
      </x:c>
      <x:c r="E129" s="18" t="str">
        <x:v>2025-10 / 2026-09</x:v>
      </x:c>
      <x:c r="F129" s="18" t="str">
        <x:v>Global · sin filtro de idioma</x:v>
      </x:c>
      <x:c r="G129" s="18" t="str">
        <x:v>search_volume</x:v>
      </x:c>
      <x:c r="H129" s="18" t="str">
        <x:v>global-candidates.json</x:v>
      </x:c>
      <x:c r="I129" s="18" t="str">
        <x:v>10181909-1949-0367-0000-d6f424f63198</x:v>
      </x:c>
      <x:c r="J129" s="18" t="str">
        <x:v>No</x:v>
      </x:c>
    </x:row>
    <x:row r="130" ht="34" customHeight="1">
      <x:c r="A130" s="18" t="str">
        <x:v>calligraphy-worksheet</x:v>
      </x:c>
      <x:c r="B130" s="18" t="str">
        <x:v>handwriting worksheets</x:v>
      </x:c>
      <x:c r="C130" s="19" t="n">
        <x:v>22200</x:v>
      </x:c>
      <x:c r="D130" s="18" t="str">
        <x:v>Sí</x:v>
      </x:c>
      <x:c r="E130" s="18" t="str">
        <x:v>2025-10 / 2026-09</x:v>
      </x:c>
      <x:c r="F130" s="18" t="str">
        <x:v>Global · sin filtro de idioma</x:v>
      </x:c>
      <x:c r="G130" s="18" t="str">
        <x:v>search_volume</x:v>
      </x:c>
      <x:c r="H130" s="18" t="str">
        <x:v>global-candidates.json</x:v>
      </x:c>
      <x:c r="I130" s="18" t="str">
        <x:v>10181909-1949-0367-0000-d6f424f63198</x:v>
      </x:c>
      <x:c r="J130" s="18" t="str">
        <x:v>No</x:v>
      </x:c>
    </x:row>
    <x:row r="131" ht="34" customHeight="1">
      <x:c r="A131" s="18" t="str">
        <x:v>calligraphy-worksheet</x:v>
      </x:c>
      <x:c r="B131" s="18" t="str">
        <x:v>caligrafia para imprimir</x:v>
      </x:c>
      <x:c r="C131" s="19" t="n">
        <x:v>18100</x:v>
      </x:c>
      <x:c r="D131" s="18" t="str">
        <x:v>No</x:v>
      </x:c>
      <x:c r="E131" s="18" t="str">
        <x:v>2025-10 / 2026-09</x:v>
      </x:c>
      <x:c r="F131" s="18" t="str">
        <x:v>Global · sin filtro de idioma</x:v>
      </x:c>
      <x:c r="G131" s="18" t="str">
        <x:v>search_volume</x:v>
      </x:c>
      <x:c r="H131" s="18" t="str">
        <x:v>global-candidates.json</x:v>
      </x:c>
      <x:c r="I131" s="18" t="str">
        <x:v>10181909-1949-0367-0000-d6f424f63198</x:v>
      </x:c>
      <x:c r="J131" s="18" t="str">
        <x:v>No</x:v>
      </x:c>
    </x:row>
    <x:row r="132" ht="34" customHeight="1">
      <x:c r="A132" s="18" t="str">
        <x:v>origami-simulator</x:v>
      </x:c>
      <x:c r="B132" s="18" t="str">
        <x:v>origami simulator</x:v>
      </x:c>
      <x:c r="C132" s="19" t="n">
        <x:v>2400</x:v>
      </x:c>
      <x:c r="D132" s="18" t="str">
        <x:v>No</x:v>
      </x:c>
      <x:c r="E132" s="18" t="str">
        <x:v>2025-10 / 2026-09</x:v>
      </x:c>
      <x:c r="F132" s="18" t="str">
        <x:v>Global · sin filtro de idioma</x:v>
      </x:c>
      <x:c r="G132" s="18" t="str">
        <x:v>search_volume</x:v>
      </x:c>
      <x:c r="H132" s="18" t="str">
        <x:v>global-candidates.json</x:v>
      </x:c>
      <x:c r="I132" s="18" t="str">
        <x:v>10181909-1949-0367-0000-d6f424f63198</x:v>
      </x:c>
      <x:c r="J132" s="18" t="str">
        <x:v>No</x:v>
      </x:c>
    </x:row>
    <x:row r="133" ht="34" customHeight="1">
      <x:c r="A133" s="18" t="str">
        <x:v>origami-simulator</x:v>
      </x:c>
      <x:c r="B133" s="18" t="str">
        <x:v>origami instructions</x:v>
      </x:c>
      <x:c r="C133" s="19" t="n">
        <x:v>9900</x:v>
      </x:c>
      <x:c r="D133" s="18" t="str">
        <x:v>Sí</x:v>
      </x:c>
      <x:c r="E133" s="18" t="str">
        <x:v>2025-10 / 2026-09</x:v>
      </x:c>
      <x:c r="F133" s="18" t="str">
        <x:v>Global · sin filtro de idioma</x:v>
      </x:c>
      <x:c r="G133" s="18" t="str">
        <x:v>search_volume</x:v>
      </x:c>
      <x:c r="H133" s="18" t="str">
        <x:v>global-candidates.json</x:v>
      </x:c>
      <x:c r="I133" s="18" t="str">
        <x:v>10181909-1949-0367-0000-d6f424f63198</x:v>
      </x:c>
      <x:c r="J133" s="18" t="str">
        <x:v>No</x:v>
      </x:c>
    </x:row>
    <x:row r="134" ht="34" customHeight="1">
      <x:c r="A134" s="18" t="str">
        <x:v>origami-simulator</x:v>
      </x:c>
      <x:c r="B134" s="18" t="str">
        <x:v>origami online</x:v>
      </x:c>
      <x:c r="C134" s="19" t="n">
        <x:v>480</x:v>
      </x:c>
      <x:c r="D134" s="18" t="str">
        <x:v>No</x:v>
      </x:c>
      <x:c r="E134" s="18" t="str">
        <x:v>2025-10 / 2026-09</x:v>
      </x:c>
      <x:c r="F134" s="18" t="str">
        <x:v>Global · sin filtro de idioma</x:v>
      </x:c>
      <x:c r="G134" s="18" t="str">
        <x:v>search_volume</x:v>
      </x:c>
      <x:c r="H134" s="18" t="str">
        <x:v>global-candidates.json</x:v>
      </x:c>
      <x:c r="I134" s="18" t="str">
        <x:v>10181909-1949-0367-0000-d6f424f63198</x:v>
      </x:c>
      <x:c r="J134" s="18" t="str">
        <x:v>No</x:v>
      </x:c>
    </x:row>
    <x:row r="135" ht="34" customHeight="1">
      <x:c r="A135" s="18" t="str">
        <x:v>sewing-pattern-drafter</x:v>
      </x:c>
      <x:c r="B135" s="18" t="str">
        <x:v>sewing pattern generator</x:v>
      </x:c>
      <x:c r="C135" s="19" t="n">
        <x:v>1000</x:v>
      </x:c>
      <x:c r="D135" s="18" t="str">
        <x:v>No</x:v>
      </x:c>
      <x:c r="E135" s="18" t="str">
        <x:v>2025-10 / 2026-09</x:v>
      </x:c>
      <x:c r="F135" s="18" t="str">
        <x:v>Global · sin filtro de idioma</x:v>
      </x:c>
      <x:c r="G135" s="18" t="str">
        <x:v>search_volume</x:v>
      </x:c>
      <x:c r="H135" s="18" t="str">
        <x:v>global-candidates.json</x:v>
      </x:c>
      <x:c r="I135" s="18" t="str">
        <x:v>10181909-1949-0367-0000-d6f424f63198</x:v>
      </x:c>
      <x:c r="J135" s="18" t="str">
        <x:v>No</x:v>
      </x:c>
    </x:row>
    <x:row r="136" ht="34" customHeight="1">
      <x:c r="A136" s="18" t="str">
        <x:v>sewing-pattern-drafter</x:v>
      </x:c>
      <x:c r="B136" s="18" t="str">
        <x:v>patrones de costura</x:v>
      </x:c>
      <x:c r="C136" s="19" t="n">
        <x:v>3600</x:v>
      </x:c>
      <x:c r="D136" s="18" t="str">
        <x:v>No</x:v>
      </x:c>
      <x:c r="E136" s="18" t="str">
        <x:v>2025-10 / 2026-09</x:v>
      </x:c>
      <x:c r="F136" s="18" t="str">
        <x:v>Global · sin filtro de idioma</x:v>
      </x:c>
      <x:c r="G136" s="18" t="str">
        <x:v>search_volume</x:v>
      </x:c>
      <x:c r="H136" s="18" t="str">
        <x:v>global-candidates.json</x:v>
      </x:c>
      <x:c r="I136" s="18" t="str">
        <x:v>10181909-1949-0367-0000-d6f424f63198</x:v>
      </x:c>
      <x:c r="J136" s="18" t="str">
        <x:v>No</x:v>
      </x:c>
    </x:row>
    <x:row r="137" ht="34" customHeight="1">
      <x:c r="A137" s="18" t="str">
        <x:v>sewing-pattern-drafter</x:v>
      </x:c>
      <x:c r="B137" s="18" t="str">
        <x:v>pattern maker</x:v>
      </x:c>
      <x:c r="C137" s="19" t="n">
        <x:v>12100</x:v>
      </x:c>
      <x:c r="D137" s="18" t="str">
        <x:v>Sí</x:v>
      </x:c>
      <x:c r="E137" s="18" t="str">
        <x:v>2025-10 / 2026-09</x:v>
      </x:c>
      <x:c r="F137" s="18" t="str">
        <x:v>Global · sin filtro de idioma</x:v>
      </x:c>
      <x:c r="G137" s="18" t="str">
        <x:v>search_volume</x:v>
      </x:c>
      <x:c r="H137" s="18" t="str">
        <x:v>global-candidates.json</x:v>
      </x:c>
      <x:c r="I137" s="18" t="str">
        <x:v>10181909-1949-0367-0000-d6f424f63198</x:v>
      </x:c>
      <x:c r="J137" s="18" t="str">
        <x:v>No</x:v>
      </x:c>
    </x:row>
    <x:row r="138" ht="34" customHeight="1">
      <x:c r="A138" s="18" t="str">
        <x:v>crochet-chart-maker</x:v>
      </x:c>
      <x:c r="B138" s="18" t="str">
        <x:v>crochet chart maker</x:v>
      </x:c>
      <x:c r="C138" s="19" t="n">
        <x:v>2900</x:v>
      </x:c>
      <x:c r="D138" s="18" t="str">
        <x:v>No</x:v>
      </x:c>
      <x:c r="E138" s="18" t="str">
        <x:v>2025-10 / 2026-09</x:v>
      </x:c>
      <x:c r="F138" s="18" t="str">
        <x:v>Global · sin filtro de idioma</x:v>
      </x:c>
      <x:c r="G138" s="18" t="str">
        <x:v>search_volume</x:v>
      </x:c>
      <x:c r="H138" s="18" t="str">
        <x:v>global-candidates.json</x:v>
      </x:c>
      <x:c r="I138" s="18" t="str">
        <x:v>10181909-1949-0367-0000-d6f424f63198</x:v>
      </x:c>
      <x:c r="J138" s="18" t="str">
        <x:v>No</x:v>
      </x:c>
    </x:row>
    <x:row r="139" ht="34" customHeight="1">
      <x:c r="A139" s="18" t="str">
        <x:v>crochet-chart-maker</x:v>
      </x:c>
      <x:c r="B139" s="18" t="str">
        <x:v>crochet pattern generator</x:v>
      </x:c>
      <x:c r="C139" s="19" t="n">
        <x:v>6600</x:v>
      </x:c>
      <x:c r="D139" s="18" t="str">
        <x:v>Sí</x:v>
      </x:c>
      <x:c r="E139" s="18" t="str">
        <x:v>2025-10 / 2026-09</x:v>
      </x:c>
      <x:c r="F139" s="18" t="str">
        <x:v>Global · sin filtro de idioma</x:v>
      </x:c>
      <x:c r="G139" s="18" t="str">
        <x:v>search_volume</x:v>
      </x:c>
      <x:c r="H139" s="18" t="str">
        <x:v>global-candidates.json</x:v>
      </x:c>
      <x:c r="I139" s="18" t="str">
        <x:v>10181909-1949-0367-0000-d6f424f63198</x:v>
      </x:c>
      <x:c r="J139" s="18" t="str">
        <x:v>No</x:v>
      </x:c>
    </x:row>
    <x:row r="140" ht="34" customHeight="1">
      <x:c r="A140" s="18" t="str">
        <x:v>crochet-chart-maker</x:v>
      </x:c>
      <x:c r="B140" s="18" t="str">
        <x:v>patrones crochet</x:v>
      </x:c>
      <x:c r="C140" s="19" t="n">
        <x:v>3600</x:v>
      </x:c>
      <x:c r="D140" s="18" t="str">
        <x:v>No</x:v>
      </x:c>
      <x:c r="E140" s="18" t="str">
        <x:v>2025-10 / 2026-09</x:v>
      </x:c>
      <x:c r="F140" s="18" t="str">
        <x:v>Global · sin filtro de idioma</x:v>
      </x:c>
      <x:c r="G140" s="18" t="str">
        <x:v>search_volume</x:v>
      </x:c>
      <x:c r="H140" s="18" t="str">
        <x:v>global-candidates.json</x:v>
      </x:c>
      <x:c r="I140" s="18" t="str">
        <x:v>10181909-1949-0367-0000-d6f424f63198</x:v>
      </x:c>
      <x:c r="J140" s="18" t="str">
        <x:v>No</x:v>
      </x:c>
    </x:row>
    <x:row r="141" ht="34" customHeight="1">
      <x:c r="A141" s="18" t="str">
        <x:v>embroidery-digitizer</x:v>
      </x:c>
      <x:c r="B141" s="18" t="str">
        <x:v>embroidery digitizing</x:v>
      </x:c>
      <x:c r="C141" s="19" t="n">
        <x:v>4400</x:v>
      </x:c>
      <x:c r="D141" s="18" t="str">
        <x:v>Sí</x:v>
      </x:c>
      <x:c r="E141" s="18" t="str">
        <x:v>2025-10 / 2026-09</x:v>
      </x:c>
      <x:c r="F141" s="18" t="str">
        <x:v>Global · sin filtro de idioma</x:v>
      </x:c>
      <x:c r="G141" s="18" t="str">
        <x:v>search_volume</x:v>
      </x:c>
      <x:c r="H141" s="18" t="str">
        <x:v>global-candidates.json</x:v>
      </x:c>
      <x:c r="I141" s="18" t="str">
        <x:v>10181909-1949-0367-0000-d6f424f63198</x:v>
      </x:c>
      <x:c r="J141" s="18" t="str">
        <x:v>No</x:v>
      </x:c>
    </x:row>
    <x:row r="142" ht="34" customHeight="1">
      <x:c r="A142" s="18" t="str">
        <x:v>embroidery-digitizer</x:v>
      </x:c>
      <x:c r="B142" s="18" t="str">
        <x:v>image to embroidery</x:v>
      </x:c>
      <x:c r="C142" s="19" t="n">
        <x:v>720</x:v>
      </x:c>
      <x:c r="D142" s="18" t="str">
        <x:v>No</x:v>
      </x:c>
      <x:c r="E142" s="18" t="str">
        <x:v>2025-10 / 2026-09</x:v>
      </x:c>
      <x:c r="F142" s="18" t="str">
        <x:v>Global · sin filtro de idioma</x:v>
      </x:c>
      <x:c r="G142" s="18" t="str">
        <x:v>search_volume</x:v>
      </x:c>
      <x:c r="H142" s="18" t="str">
        <x:v>global-candidates.json</x:v>
      </x:c>
      <x:c r="I142" s="18" t="str">
        <x:v>10181909-1949-0367-0000-d6f424f63198</x:v>
      </x:c>
      <x:c r="J142" s="18" t="str">
        <x:v>No</x:v>
      </x:c>
    </x:row>
    <x:row r="143" ht="34" customHeight="1">
      <x:c r="A143" s="18" t="str">
        <x:v>embroidery-digitizer</x:v>
      </x:c>
      <x:c r="B143" s="18" t="str">
        <x:v>bordado digital</x:v>
      </x:c>
      <x:c r="C143" s="19" t="n">
        <x:v>880</x:v>
      </x:c>
      <x:c r="D143" s="18" t="str">
        <x:v>No</x:v>
      </x:c>
      <x:c r="E143" s="18" t="str">
        <x:v>2025-10 / 2026-09</x:v>
      </x:c>
      <x:c r="F143" s="18" t="str">
        <x:v>Global · sin filtro de idioma</x:v>
      </x:c>
      <x:c r="G143" s="18" t="str">
        <x:v>search_volume</x:v>
      </x:c>
      <x:c r="H143" s="18" t="str">
        <x:v>global-candidates.json</x:v>
      </x:c>
      <x:c r="I143" s="18" t="str">
        <x:v>10181909-1949-0367-0000-d6f424f63198</x:v>
      </x:c>
      <x:c r="J143" s="18" t="str">
        <x:v>No</x:v>
      </x:c>
    </x:row>
    <x:row r="144" ht="34" customHeight="1">
      <x:c r="A144" s="18" t="str">
        <x:v>laser-box-designer</x:v>
      </x:c>
      <x:c r="B144" s="18" t="str">
        <x:v>laser cut box generator</x:v>
      </x:c>
      <x:c r="C144" s="19" t="n">
        <x:v>1900</x:v>
      </x:c>
      <x:c r="D144" s="18" t="str">
        <x:v>No</x:v>
      </x:c>
      <x:c r="E144" s="18" t="str">
        <x:v>2025-10 / 2026-09</x:v>
      </x:c>
      <x:c r="F144" s="18" t="str">
        <x:v>Global · sin filtro de idioma</x:v>
      </x:c>
      <x:c r="G144" s="18" t="str">
        <x:v>search_volume</x:v>
      </x:c>
      <x:c r="H144" s="18" t="str">
        <x:v>global-candidates.json</x:v>
      </x:c>
      <x:c r="I144" s="18" t="str">
        <x:v>10181909-1949-0367-0000-d6f424f63198</x:v>
      </x:c>
      <x:c r="J144" s="18" t="str">
        <x:v>No</x:v>
      </x:c>
    </x:row>
    <x:row r="145" ht="34" customHeight="1">
      <x:c r="A145" s="18" t="str">
        <x:v>laser-box-designer</x:v>
      </x:c>
      <x:c r="B145" s="18" t="str">
        <x:v>box generator</x:v>
      </x:c>
      <x:c r="C145" s="19" t="n">
        <x:v>6600</x:v>
      </x:c>
      <x:c r="D145" s="18" t="str">
        <x:v>Sí</x:v>
      </x:c>
      <x:c r="E145" s="18" t="str">
        <x:v>2025-10 / 2026-09</x:v>
      </x:c>
      <x:c r="F145" s="18" t="str">
        <x:v>Global · sin filtro de idioma</x:v>
      </x:c>
      <x:c r="G145" s="18" t="str">
        <x:v>search_volume</x:v>
      </x:c>
      <x:c r="H145" s="18" t="str">
        <x:v>global-candidates.json</x:v>
      </x:c>
      <x:c r="I145" s="18" t="str">
        <x:v>10181909-1949-0367-0000-d6f424f63198</x:v>
      </x:c>
      <x:c r="J145" s="18" t="str">
        <x:v>No</x:v>
      </x:c>
    </x:row>
    <x:row r="146" ht="34" customHeight="1">
      <x:c r="A146" s="18" t="str">
        <x:v>laser-box-designer</x:v>
      </x:c>
      <x:c r="B146" s="18" t="str">
        <x:v>caja corte laser</x:v>
      </x:c>
      <x:c r="C146" s="19" t="n">
        <x:v>480</x:v>
      </x:c>
      <x:c r="D146" s="18" t="str">
        <x:v>No</x:v>
      </x:c>
      <x:c r="E146" s="18" t="str">
        <x:v>2025-10 / 2026-09</x:v>
      </x:c>
      <x:c r="F146" s="18" t="str">
        <x:v>Global · sin filtro de idioma</x:v>
      </x:c>
      <x:c r="G146" s="18" t="str">
        <x:v>search_volume</x:v>
      </x:c>
      <x:c r="H146" s="18" t="str">
        <x:v>global-candidates.json</x:v>
      </x:c>
      <x:c r="I146" s="18" t="str">
        <x:v>10181909-1949-0367-0000-d6f424f63198</x:v>
      </x:c>
      <x:c r="J146" s="18" t="str">
        <x:v>No</x:v>
      </x:c>
    </x:row>
    <x:row r="147" ht="34" customHeight="1">
      <x:c r="A147" s="18" t="str">
        <x:v>3d-model-editor</x:v>
      </x:c>
      <x:c r="B147" s="18" t="str">
        <x:v>3d modeling online</x:v>
      </x:c>
      <x:c r="C147" s="19" t="n">
        <x:v>12100</x:v>
      </x:c>
      <x:c r="D147" s="18" t="str">
        <x:v>Sí</x:v>
      </x:c>
      <x:c r="E147" s="18" t="str">
        <x:v>2025-10 / 2026-09</x:v>
      </x:c>
      <x:c r="F147" s="18" t="str">
        <x:v>Global · sin filtro de idioma</x:v>
      </x:c>
      <x:c r="G147" s="18" t="str">
        <x:v>search_volume</x:v>
      </x:c>
      <x:c r="H147" s="18" t="str">
        <x:v>global-candidates.json</x:v>
      </x:c>
      <x:c r="I147" s="18" t="str">
        <x:v>10181909-1949-0367-0000-d6f424f63198</x:v>
      </x:c>
      <x:c r="J147" s="18" t="str">
        <x:v>No</x:v>
      </x:c>
    </x:row>
    <x:row r="148" ht="34" customHeight="1">
      <x:c r="A148" s="18" t="str">
        <x:v>3d-model-editor</x:v>
      </x:c>
      <x:c r="B148" s="18" t="str">
        <x:v>3d editor</x:v>
      </x:c>
      <x:c r="C148" s="19" t="n">
        <x:v>2900</x:v>
      </x:c>
      <x:c r="D148" s="18" t="str">
        <x:v>No</x:v>
      </x:c>
      <x:c r="E148" s="18" t="str">
        <x:v>2025-10 / 2026-09</x:v>
      </x:c>
      <x:c r="F148" s="18" t="str">
        <x:v>Global · sin filtro de idioma</x:v>
      </x:c>
      <x:c r="G148" s="18" t="str">
        <x:v>search_volume</x:v>
      </x:c>
      <x:c r="H148" s="18" t="str">
        <x:v>global-candidates.json</x:v>
      </x:c>
      <x:c r="I148" s="18" t="str">
        <x:v>10181909-1949-0367-0000-d6f424f63198</x:v>
      </x:c>
      <x:c r="J148" s="18" t="str">
        <x:v>No</x:v>
      </x:c>
    </x:row>
    <x:row r="149" ht="34" customHeight="1">
      <x:c r="A149" s="18" t="str">
        <x:v>3d-model-editor</x:v>
      </x:c>
      <x:c r="B149" s="18" t="str">
        <x:v>modelado 3d online</x:v>
      </x:c>
      <x:c r="C149" s="19" t="n">
        <x:v>880</x:v>
      </x:c>
      <x:c r="D149" s="18" t="str">
        <x:v>No</x:v>
      </x:c>
      <x:c r="E149" s="18" t="str">
        <x:v>2025-10 / 2026-09</x:v>
      </x:c>
      <x:c r="F149" s="18" t="str">
        <x:v>Global · sin filtro de idioma</x:v>
      </x:c>
      <x:c r="G149" s="18" t="str">
        <x:v>search_volume</x:v>
      </x:c>
      <x:c r="H149" s="18" t="str">
        <x:v>global-candidates.json</x:v>
      </x:c>
      <x:c r="I149" s="18" t="str">
        <x:v>10181909-1949-0367-0000-d6f424f63198</x:v>
      </x:c>
      <x:c r="J149" s="18" t="str">
        <x:v>No</x:v>
      </x:c>
    </x:row>
    <x:row r="150" ht="34" customHeight="1">
      <x:c r="A150" s="18" t="str">
        <x:v>3d-print-slicer</x:v>
      </x:c>
      <x:c r="B150" s="18" t="str">
        <x:v>3d slicer</x:v>
      </x:c>
      <x:c r="C150" s="19" t="n">
        <x:v>27100</x:v>
      </x:c>
      <x:c r="D150" s="18" t="str">
        <x:v>Sí</x:v>
      </x:c>
      <x:c r="E150" s="18" t="str">
        <x:v>2025-10 / 2026-09</x:v>
      </x:c>
      <x:c r="F150" s="18" t="str">
        <x:v>Global · sin filtro de idioma</x:v>
      </x:c>
      <x:c r="G150" s="18" t="str">
        <x:v>search_volume</x:v>
      </x:c>
      <x:c r="H150" s="18" t="str">
        <x:v>global-candidates.json</x:v>
      </x:c>
      <x:c r="I150" s="18" t="str">
        <x:v>10181909-1949-0367-0000-d6f424f63198</x:v>
      </x:c>
      <x:c r="J150" s="18" t="str">
        <x:v>No</x:v>
      </x:c>
    </x:row>
    <x:row r="151" ht="34" customHeight="1">
      <x:c r="A151" s="18" t="str">
        <x:v>3d-print-slicer</x:v>
      </x:c>
      <x:c r="B151" s="18" t="str">
        <x:v>slicer online</x:v>
      </x:c>
      <x:c r="C151" s="19" t="n">
        <x:v>3600</x:v>
      </x:c>
      <x:c r="D151" s="18" t="str">
        <x:v>No</x:v>
      </x:c>
      <x:c r="E151" s="18" t="str">
        <x:v>2025-10 / 2026-09</x:v>
      </x:c>
      <x:c r="F151" s="18" t="str">
        <x:v>Global · sin filtro de idioma</x:v>
      </x:c>
      <x:c r="G151" s="18" t="str">
        <x:v>search_volume</x:v>
      </x:c>
      <x:c r="H151" s="18" t="str">
        <x:v>global-candidates.json</x:v>
      </x:c>
      <x:c r="I151" s="18" t="str">
        <x:v>10181909-1949-0367-0000-d6f424f63198</x:v>
      </x:c>
      <x:c r="J151" s="18" t="str">
        <x:v>No</x:v>
      </x:c>
    </x:row>
    <x:row r="152" ht="34" customHeight="1">
      <x:c r="A152" s="18" t="str">
        <x:v>3d-print-slicer</x:v>
      </x:c>
      <x:c r="B152" s="18" t="str">
        <x:v>laminador 3d</x:v>
      </x:c>
      <x:c r="C152" s="19" t="n">
        <x:v>260</x:v>
      </x:c>
      <x:c r="D152" s="18" t="str">
        <x:v>No</x:v>
      </x:c>
      <x:c r="E152" s="18" t="str">
        <x:v>2025-10 / 2026-09</x:v>
      </x:c>
      <x:c r="F152" s="18" t="str">
        <x:v>Global · sin filtro de idioma</x:v>
      </x:c>
      <x:c r="G152" s="18" t="str">
        <x:v>search_volume</x:v>
      </x:c>
      <x:c r="H152" s="18" t="str">
        <x:v>global-candidates.json</x:v>
      </x:c>
      <x:c r="I152" s="18" t="str">
        <x:v>10181909-1949-0367-0000-d6f424f63198</x:v>
      </x:c>
      <x:c r="J152" s="18" t="str">
        <x:v>No</x:v>
      </x:c>
    </x:row>
    <x:row r="153" ht="34" customHeight="1">
      <x:c r="A153" s="18" t="str">
        <x:v>lithophane-generator</x:v>
      </x:c>
      <x:c r="B153" s="18" t="str">
        <x:v>lithophane maker</x:v>
      </x:c>
      <x:c r="C153" s="19" t="n">
        <x:v>18100</x:v>
      </x:c>
      <x:c r="D153" s="18" t="str">
        <x:v>Sí</x:v>
      </x:c>
      <x:c r="E153" s="18" t="str">
        <x:v>2025-10 / 2026-09</x:v>
      </x:c>
      <x:c r="F153" s="18" t="str">
        <x:v>Global · sin filtro de idioma</x:v>
      </x:c>
      <x:c r="G153" s="18" t="str">
        <x:v>search_volume</x:v>
      </x:c>
      <x:c r="H153" s="18" t="str">
        <x:v>global-candidates.json</x:v>
      </x:c>
      <x:c r="I153" s="18" t="str">
        <x:v>10181909-1949-0367-0000-d6f424f63198</x:v>
      </x:c>
      <x:c r="J153" s="18" t="str">
        <x:v>No</x:v>
      </x:c>
    </x:row>
    <x:row r="154" ht="34" customHeight="1">
      <x:c r="A154" s="18" t="str">
        <x:v>lithophane-generator</x:v>
      </x:c>
      <x:c r="B154" s="18" t="str">
        <x:v>lithophane generator</x:v>
      </x:c>
      <x:c r="C154" s="19" t="n">
        <x:v>2400</x:v>
      </x:c>
      <x:c r="D154" s="18" t="str">
        <x:v>No</x:v>
      </x:c>
      <x:c r="E154" s="18" t="str">
        <x:v>2025-10 / 2026-09</x:v>
      </x:c>
      <x:c r="F154" s="18" t="str">
        <x:v>Global · sin filtro de idioma</x:v>
      </x:c>
      <x:c r="G154" s="18" t="str">
        <x:v>search_volume</x:v>
      </x:c>
      <x:c r="H154" s="18" t="str">
        <x:v>global-candidates.json</x:v>
      </x:c>
      <x:c r="I154" s="18" t="str">
        <x:v>10181909-1949-0367-0000-d6f424f63198</x:v>
      </x:c>
      <x:c r="J154" s="18" t="str">
        <x:v>No</x:v>
      </x:c>
    </x:row>
    <x:row r="155" ht="34" customHeight="1">
      <x:c r="A155" s="18" t="str">
        <x:v>lithophane-generator</x:v>
      </x:c>
      <x:c r="B155" s="18" t="str">
        <x:v>litofania</x:v>
      </x:c>
      <x:c r="C155" s="19" t="n">
        <x:v>6600</x:v>
      </x:c>
      <x:c r="D155" s="18" t="str">
        <x:v>No</x:v>
      </x:c>
      <x:c r="E155" s="18" t="str">
        <x:v>2025-10 / 2026-09</x:v>
      </x:c>
      <x:c r="F155" s="18" t="str">
        <x:v>Global · sin filtro de idioma</x:v>
      </x:c>
      <x:c r="G155" s="18" t="str">
        <x:v>search_volume</x:v>
      </x:c>
      <x:c r="H155" s="18" t="str">
        <x:v>global-candidates.json</x:v>
      </x:c>
      <x:c r="I155" s="18" t="str">
        <x:v>10181909-1949-0367-0000-d6f424f63198</x:v>
      </x:c>
      <x:c r="J155" s="18" t="str">
        <x:v>No</x:v>
      </x:c>
    </x:row>
    <x:row r="156" ht="34" customHeight="1">
      <x:c r="A156" s="18" t="str">
        <x:v>circuit-diagram-editor</x:v>
      </x:c>
      <x:c r="B156" s="18" t="str">
        <x:v>circuit diagram maker</x:v>
      </x:c>
      <x:c r="C156" s="19" t="n">
        <x:v>12100</x:v>
      </x:c>
      <x:c r="D156" s="18" t="str">
        <x:v>No</x:v>
      </x:c>
      <x:c r="E156" s="18" t="str">
        <x:v>2025-10 / 2026-09</x:v>
      </x:c>
      <x:c r="F156" s="18" t="str">
        <x:v>Global · sin filtro de idioma</x:v>
      </x:c>
      <x:c r="G156" s="18" t="str">
        <x:v>search_volume</x:v>
      </x:c>
      <x:c r="H156" s="18" t="str">
        <x:v>global-candidates.json</x:v>
      </x:c>
      <x:c r="I156" s="18" t="str">
        <x:v>10181909-1949-0367-0000-d6f424f63198</x:v>
      </x:c>
      <x:c r="J156" s="18" t="str">
        <x:v>No</x:v>
      </x:c>
    </x:row>
    <x:row r="157" ht="34" customHeight="1">
      <x:c r="A157" s="18" t="str">
        <x:v>circuit-diagram-editor</x:v>
      </x:c>
      <x:c r="B157" s="18" t="str">
        <x:v>circuit simulator</x:v>
      </x:c>
      <x:c r="C157" s="19" t="n">
        <x:v>33100</x:v>
      </x:c>
      <x:c r="D157" s="18" t="str">
        <x:v>Sí</x:v>
      </x:c>
      <x:c r="E157" s="18" t="str">
        <x:v>2025-10 / 2026-09</x:v>
      </x:c>
      <x:c r="F157" s="18" t="str">
        <x:v>Global · sin filtro de idioma</x:v>
      </x:c>
      <x:c r="G157" s="18" t="str">
        <x:v>search_volume</x:v>
      </x:c>
      <x:c r="H157" s="18" t="str">
        <x:v>global-candidates.json</x:v>
      </x:c>
      <x:c r="I157" s="18" t="str">
        <x:v>10181909-1949-0367-0000-d6f424f63198</x:v>
      </x:c>
      <x:c r="J157" s="18" t="str">
        <x:v>No</x:v>
      </x:c>
    </x:row>
    <x:row r="158" ht="34" customHeight="1">
      <x:c r="A158" s="18" t="str">
        <x:v>circuit-diagram-editor</x:v>
      </x:c>
      <x:c r="B158" s="18" t="str">
        <x:v>circuit editor</x:v>
      </x:c>
      <x:c r="C158" s="19" t="n">
        <x:v>140</x:v>
      </x:c>
      <x:c r="D158" s="18" t="str">
        <x:v>No</x:v>
      </x:c>
      <x:c r="E158" s="18" t="str">
        <x:v>2025-10 / 2026-09</x:v>
      </x:c>
      <x:c r="F158" s="18" t="str">
        <x:v>Global · sin filtro de idioma</x:v>
      </x:c>
      <x:c r="G158" s="18" t="str">
        <x:v>search_volume</x:v>
      </x:c>
      <x:c r="H158" s="18" t="str">
        <x:v>global-candidates.json</x:v>
      </x:c>
      <x:c r="I158" s="18" t="str">
        <x:v>10181909-1949-0367-0000-d6f424f63198</x:v>
      </x:c>
      <x:c r="J158" s="18" t="str">
        <x:v>No</x:v>
      </x:c>
    </x:row>
    <x:row r="159" ht="34" customHeight="1">
      <x:c r="A159" s="18" t="str">
        <x:v>pcb-layout-editor</x:v>
      </x:c>
      <x:c r="B159" s="18" t="str">
        <x:v>pcb design online</x:v>
      </x:c>
      <x:c r="C159" s="19" t="n">
        <x:v>2900</x:v>
      </x:c>
      <x:c r="D159" s="18" t="str">
        <x:v>No</x:v>
      </x:c>
      <x:c r="E159" s="18" t="str">
        <x:v>2025-10 / 2026-09</x:v>
      </x:c>
      <x:c r="F159" s="18" t="str">
        <x:v>Global · sin filtro de idioma</x:v>
      </x:c>
      <x:c r="G159" s="18" t="str">
        <x:v>search_volume</x:v>
      </x:c>
      <x:c r="H159" s="18" t="str">
        <x:v>global-candidates.json</x:v>
      </x:c>
      <x:c r="I159" s="18" t="str">
        <x:v>10181909-1949-0367-0000-d6f424f63198</x:v>
      </x:c>
      <x:c r="J159" s="18" t="str">
        <x:v>No</x:v>
      </x:c>
    </x:row>
    <x:row r="160" ht="34" customHeight="1">
      <x:c r="A160" s="18" t="str">
        <x:v>pcb-layout-editor</x:v>
      </x:c>
      <x:c r="B160" s="18" t="str">
        <x:v>pcb layout</x:v>
      </x:c>
      <x:c r="C160" s="19" t="n">
        <x:v>6600</x:v>
      </x:c>
      <x:c r="D160" s="18" t="str">
        <x:v>Sí</x:v>
      </x:c>
      <x:c r="E160" s="18" t="str">
        <x:v>2025-10 / 2026-09</x:v>
      </x:c>
      <x:c r="F160" s="18" t="str">
        <x:v>Global · sin filtro de idioma</x:v>
      </x:c>
      <x:c r="G160" s="18" t="str">
        <x:v>search_volume</x:v>
      </x:c>
      <x:c r="H160" s="18" t="str">
        <x:v>global-candidates.json</x:v>
      </x:c>
      <x:c r="I160" s="18" t="str">
        <x:v>10181909-1949-0367-0000-d6f424f63198</x:v>
      </x:c>
      <x:c r="J160" s="18" t="str">
        <x:v>No</x:v>
      </x:c>
    </x:row>
    <x:row r="161" ht="34" customHeight="1">
      <x:c r="A161" s="18" t="str">
        <x:v>pcb-layout-editor</x:v>
      </x:c>
      <x:c r="B161" s="18" t="str">
        <x:v>pcb editor</x:v>
      </x:c>
      <x:c r="C161" s="19" t="n">
        <x:v>720</x:v>
      </x:c>
      <x:c r="D161" s="18" t="str">
        <x:v>No</x:v>
      </x:c>
      <x:c r="E161" s="18" t="str">
        <x:v>2025-10 / 2026-09</x:v>
      </x:c>
      <x:c r="F161" s="18" t="str">
        <x:v>Global · sin filtro de idioma</x:v>
      </x:c>
      <x:c r="G161" s="18" t="str">
        <x:v>search_volume</x:v>
      </x:c>
      <x:c r="H161" s="18" t="str">
        <x:v>global-candidates.json</x:v>
      </x:c>
      <x:c r="I161" s="18" t="str">
        <x:v>10181909-1949-0367-0000-d6f424f63198</x:v>
      </x:c>
      <x:c r="J161" s="18" t="str">
        <x:v>No</x:v>
      </x:c>
    </x:row>
    <x:row r="162" ht="34" customHeight="1">
      <x:c r="A162" s="18" t="str">
        <x:v>static-website-builder</x:v>
      </x:c>
      <x:c r="B162" s="18" t="str">
        <x:v>website builder</x:v>
      </x:c>
      <x:c r="C162" s="19" t="n">
        <x:v>450000</x:v>
      </x:c>
      <x:c r="D162" s="18" t="str">
        <x:v>Sí</x:v>
      </x:c>
      <x:c r="E162" s="18" t="str">
        <x:v>2025-10 / 2026-09</x:v>
      </x:c>
      <x:c r="F162" s="18" t="str">
        <x:v>Global · sin filtro de idioma</x:v>
      </x:c>
      <x:c r="G162" s="18" t="str">
        <x:v>search_volume</x:v>
      </x:c>
      <x:c r="H162" s="18" t="str">
        <x:v>global-initial-screen.json</x:v>
      </x:c>
      <x:c r="I162" s="18" t="str">
        <x:v>10181645-1949-0367-0000-721aab5cac1a</x:v>
      </x:c>
      <x:c r="J162" s="18" t="str">
        <x:v>No</x:v>
      </x:c>
    </x:row>
    <x:row r="163" ht="34" customHeight="1">
      <x:c r="A163" s="18" t="str">
        <x:v>static-website-builder</x:v>
      </x:c>
      <x:c r="B163" s="18" t="str">
        <x:v>creador de paginas web</x:v>
      </x:c>
      <x:c r="C163" s="19" t="n">
        <x:v>5400</x:v>
      </x:c>
      <x:c r="D163" s="18" t="str">
        <x:v>No</x:v>
      </x:c>
      <x:c r="E163" s="18" t="str">
        <x:v>2025-10 / 2026-09</x:v>
      </x:c>
      <x:c r="F163" s="18" t="str">
        <x:v>Global · sin filtro de idioma</x:v>
      </x:c>
      <x:c r="G163" s="18" t="str">
        <x:v>search_volume</x:v>
      </x:c>
      <x:c r="H163" s="18" t="str">
        <x:v>global-candidates.json</x:v>
      </x:c>
      <x:c r="I163" s="18" t="str">
        <x:v>10181909-1949-0367-0000-d6f424f63198</x:v>
      </x:c>
      <x:c r="J163" s="18" t="str">
        <x:v>No</x:v>
      </x:c>
    </x:row>
    <x:row r="164" ht="34" customHeight="1">
      <x:c r="A164" s="18" t="str">
        <x:v>static-website-builder</x:v>
      </x:c>
      <x:c r="B164" s="18" t="str">
        <x:v>site builder</x:v>
      </x:c>
      <x:c r="C164" s="19" t="n">
        <x:v>6600</x:v>
      </x:c>
      <x:c r="D164" s="18" t="str">
        <x:v>No</x:v>
      </x:c>
      <x:c r="E164" s="18" t="str">
        <x:v>2025-10 / 2026-09</x:v>
      </x:c>
      <x:c r="F164" s="18" t="str">
        <x:v>Global · sin filtro de idioma</x:v>
      </x:c>
      <x:c r="G164" s="18" t="str">
        <x:v>keywords_for_keywords</x:v>
      </x:c>
      <x:c r="H164" s="18" t="str">
        <x:v>discovery-creative-learning.json</x:v>
      </x:c>
      <x:c r="I164" s="18" t="str">
        <x:v>10181858-1949-0368-0000-9053a93ddd50</x:v>
      </x:c>
      <x:c r="J164" s="18" t="str">
        <x:v>No</x:v>
      </x:c>
    </x:row>
    <x:row r="165" ht="34" customHeight="1">
      <x:c r="A165" s="18" t="str">
        <x:v>online-compiler</x:v>
      </x:c>
      <x:c r="B165" s="18" t="str">
        <x:v>online compiler</x:v>
      </x:c>
      <x:c r="C165" s="19" t="n">
        <x:v>368000</x:v>
      </x:c>
      <x:c r="D165" s="18" t="str">
        <x:v>No</x:v>
      </x:c>
      <x:c r="E165" s="18" t="str">
        <x:v>2025-10 / 2026-09</x:v>
      </x:c>
      <x:c r="F165" s="18" t="str">
        <x:v>Global · sin filtro de idioma</x:v>
      </x:c>
      <x:c r="G165" s="18" t="str">
        <x:v>search_volume</x:v>
      </x:c>
      <x:c r="H165" s="18" t="str">
        <x:v>global-initial-screen.json</x:v>
      </x:c>
      <x:c r="I165" s="18" t="str">
        <x:v>10181645-1949-0367-0000-721aab5cac1a</x:v>
      </x:c>
      <x:c r="J165" s="18" t="str">
        <x:v>No</x:v>
      </x:c>
    </x:row>
    <x:row r="166" ht="34" customHeight="1">
      <x:c r="A166" s="18" t="str">
        <x:v>online-compiler</x:v>
      </x:c>
      <x:c r="B166" s="18" t="str">
        <x:v>python compiler</x:v>
      </x:c>
      <x:c r="C166" s="19" t="n">
        <x:v>823000</x:v>
      </x:c>
      <x:c r="D166" s="18" t="str">
        <x:v>Sí</x:v>
      </x:c>
      <x:c r="E166" s="18" t="str">
        <x:v>2025-10 / 2026-09</x:v>
      </x:c>
      <x:c r="F166" s="18" t="str">
        <x:v>Global · sin filtro de idioma</x:v>
      </x:c>
      <x:c r="G166" s="18" t="str">
        <x:v>search_volume</x:v>
      </x:c>
      <x:c r="H166" s="18" t="str">
        <x:v>global-initial-screen.json</x:v>
      </x:c>
      <x:c r="I166" s="18" t="str">
        <x:v>10181645-1949-0367-0000-721aab5cac1a</x:v>
      </x:c>
      <x:c r="J166" s="18" t="str">
        <x:v>No</x:v>
      </x:c>
    </x:row>
    <x:row r="167" ht="34" customHeight="1">
      <x:c r="A167" s="18" t="str">
        <x:v>online-compiler</x:v>
      </x:c>
      <x:c r="B167" s="18" t="str">
        <x:v>java compiler</x:v>
      </x:c>
      <x:c r="C167" s="19" t="n">
        <x:v>368000</x:v>
      </x:c>
      <x:c r="D167" s="18" t="str">
        <x:v>No</x:v>
      </x:c>
      <x:c r="E167" s="18" t="str">
        <x:v>2025-10 / 2026-09</x:v>
      </x:c>
      <x:c r="F167" s="18" t="str">
        <x:v>Global · sin filtro de idioma</x:v>
      </x:c>
      <x:c r="G167" s="18" t="str">
        <x:v>search_volume</x:v>
      </x:c>
      <x:c r="H167" s="18" t="str">
        <x:v>global-initial-screen.json</x:v>
      </x:c>
      <x:c r="I167" s="18" t="str">
        <x:v>10181645-1949-0367-0000-721aab5cac1a</x:v>
      </x:c>
      <x:c r="J167" s="18" t="str">
        <x:v>No</x:v>
      </x:c>
    </x:row>
    <x:row r="168" ht="34" customHeight="1">
      <x:c r="A168" s="18" t="str">
        <x:v>online-compiler</x:v>
      </x:c>
      <x:c r="B168" s="18" t="str">
        <x:v>c compiler</x:v>
      </x:c>
      <x:c r="C168" s="19" t="n">
        <x:v>673000</x:v>
      </x:c>
      <x:c r="D168" s="18" t="str">
        <x:v>No</x:v>
      </x:c>
      <x:c r="E168" s="18" t="str">
        <x:v>2025-10 / 2026-09</x:v>
      </x:c>
      <x:c r="F168" s="18" t="str">
        <x:v>Global · sin filtro de idioma</x:v>
      </x:c>
      <x:c r="G168" s="18" t="str">
        <x:v>search_volume</x:v>
      </x:c>
      <x:c r="H168" s="18" t="str">
        <x:v>global-initial-screen.json</x:v>
      </x:c>
      <x:c r="I168" s="18" t="str">
        <x:v>10181645-1949-0367-0000-721aab5cac1a</x:v>
      </x:c>
      <x:c r="J168" s="18" t="str">
        <x:v>No</x:v>
      </x:c>
    </x:row>
    <x:row r="169" ht="34" customHeight="1">
      <x:c r="A169" s="18" t="str">
        <x:v>regex-pattern-builder</x:v>
      </x:c>
      <x:c r="B169" s="18" t="str">
        <x:v>regex generator</x:v>
      </x:c>
      <x:c r="C169" s="19" t="n">
        <x:v>9900</x:v>
      </x:c>
      <x:c r="D169" s="18" t="str">
        <x:v>Sí</x:v>
      </x:c>
      <x:c r="E169" s="18" t="str">
        <x:v>2025-10 / 2026-09</x:v>
      </x:c>
      <x:c r="F169" s="18" t="str">
        <x:v>Global · sin filtro de idioma</x:v>
      </x:c>
      <x:c r="G169" s="18" t="str">
        <x:v>search_volume</x:v>
      </x:c>
      <x:c r="H169" s="18" t="str">
        <x:v>global-candidates.json</x:v>
      </x:c>
      <x:c r="I169" s="18" t="str">
        <x:v>10181909-1949-0367-0000-d6f424f63198</x:v>
      </x:c>
      <x:c r="J169" s="18" t="str">
        <x:v>No</x:v>
      </x:c>
    </x:row>
    <x:row r="170" ht="34" customHeight="1">
      <x:c r="A170" s="18" t="str">
        <x:v>regex-pattern-builder</x:v>
      </x:c>
      <x:c r="B170" s="18" t="str">
        <x:v>regex builder</x:v>
      </x:c>
      <x:c r="C170" s="19" t="n">
        <x:v>4400</x:v>
      </x:c>
      <x:c r="D170" s="18" t="str">
        <x:v>No</x:v>
      </x:c>
      <x:c r="E170" s="18" t="str">
        <x:v>2025-10 / 2026-09</x:v>
      </x:c>
      <x:c r="F170" s="18" t="str">
        <x:v>Global · sin filtro de idioma</x:v>
      </x:c>
      <x:c r="G170" s="18" t="str">
        <x:v>search_volume</x:v>
      </x:c>
      <x:c r="H170" s="18" t="str">
        <x:v>global-candidates.json</x:v>
      </x:c>
      <x:c r="I170" s="18" t="str">
        <x:v>10181909-1949-0367-0000-d6f424f63198</x:v>
      </x:c>
      <x:c r="J170" s="18" t="str">
        <x:v>No</x:v>
      </x:c>
    </x:row>
    <x:row r="171" ht="34" customHeight="1">
      <x:c r="A171" s="18" t="str">
        <x:v>regex-pattern-builder</x:v>
      </x:c>
      <x:c r="B171" s="18" t="str">
        <x:v>generador regex</x:v>
      </x:c>
      <x:c r="C171" s="19" t="n">
        <x:v>10</x:v>
      </x:c>
      <x:c r="D171" s="18" t="str">
        <x:v>No</x:v>
      </x:c>
      <x:c r="E171" s="18" t="str">
        <x:v>2025-10 / 2026-09</x:v>
      </x:c>
      <x:c r="F171" s="18" t="str">
        <x:v>Global · sin filtro de idioma</x:v>
      </x:c>
      <x:c r="G171" s="18" t="str">
        <x:v>search_volume</x:v>
      </x:c>
      <x:c r="H171" s="18" t="str">
        <x:v>global-candidates.json</x:v>
      </x:c>
      <x:c r="I171" s="18" t="str">
        <x:v>10181909-1949-0367-0000-d6f424f63198</x:v>
      </x:c>
      <x:c r="J171" s="18" t="str">
        <x:v>No</x:v>
      </x:c>
    </x:row>
    <x:row r="172" ht="34" customHeight="1">
      <x:c r="A172" s="18" t="str">
        <x:v>three-way-merge</x:v>
      </x:c>
      <x:c r="B172" s="18" t="str">
        <x:v>3 way merge</x:v>
      </x:c>
      <x:c r="C172" s="19" t="n">
        <x:v>480</x:v>
      </x:c>
      <x:c r="D172" s="18" t="str">
        <x:v>No</x:v>
      </x:c>
      <x:c r="E172" s="18" t="str">
        <x:v>2025-10 / 2026-09</x:v>
      </x:c>
      <x:c r="F172" s="18" t="str">
        <x:v>Global · sin filtro de idioma</x:v>
      </x:c>
      <x:c r="G172" s="18" t="str">
        <x:v>search_volume</x:v>
      </x:c>
      <x:c r="H172" s="18" t="str">
        <x:v>global-candidates.json</x:v>
      </x:c>
      <x:c r="I172" s="18" t="str">
        <x:v>10181909-1949-0367-0000-d6f424f63198</x:v>
      </x:c>
      <x:c r="J172" s="18" t="str">
        <x:v>No</x:v>
      </x:c>
    </x:row>
    <x:row r="173" ht="34" customHeight="1">
      <x:c r="A173" s="18" t="str">
        <x:v>three-way-merge</x:v>
      </x:c>
      <x:c r="B173" s="18" t="str">
        <x:v>merge tool</x:v>
      </x:c>
      <x:c r="C173" s="19" t="n">
        <x:v>1600</x:v>
      </x:c>
      <x:c r="D173" s="18" t="str">
        <x:v>Sí</x:v>
      </x:c>
      <x:c r="E173" s="18" t="str">
        <x:v>2025-10 / 2026-09</x:v>
      </x:c>
      <x:c r="F173" s="18" t="str">
        <x:v>Global · sin filtro de idioma</x:v>
      </x:c>
      <x:c r="G173" s="18" t="str">
        <x:v>search_volume</x:v>
      </x:c>
      <x:c r="H173" s="18" t="str">
        <x:v>global-candidates.json</x:v>
      </x:c>
      <x:c r="I173" s="18" t="str">
        <x:v>10181909-1949-0367-0000-d6f424f63198</x:v>
      </x:c>
      <x:c r="J173" s="18" t="str">
        <x:v>No</x:v>
      </x:c>
    </x:row>
    <x:row r="174" ht="34" customHeight="1">
      <x:c r="A174" s="18" t="str">
        <x:v>three-way-merge</x:v>
      </x:c>
      <x:c r="B174" s="18" t="str">
        <x:v>three way diff</x:v>
      </x:c>
      <x:c r="C174" s="19" t="n">
        <x:v>90</x:v>
      </x:c>
      <x:c r="D174" s="18" t="str">
        <x:v>No</x:v>
      </x:c>
      <x:c r="E174" s="18" t="str">
        <x:v>2025-10 / 2026-09</x:v>
      </x:c>
      <x:c r="F174" s="18" t="str">
        <x:v>Global · sin filtro de idioma</x:v>
      </x:c>
      <x:c r="G174" s="18" t="str">
        <x:v>search_volume</x:v>
      </x:c>
      <x:c r="H174" s="18" t="str">
        <x:v>global-candidates.json</x:v>
      </x:c>
      <x:c r="I174" s="18" t="str">
        <x:v>10181909-1949-0367-0000-d6f424f63198</x:v>
      </x:c>
      <x:c r="J174" s="18" t="str">
        <x:v>No</x:v>
      </x:c>
    </x:row>
    <x:row r="175" ht="34" customHeight="1">
      <x:c r="A175" s="18" t="str">
        <x:v>gitignore-generator</x:v>
      </x:c>
      <x:c r="B175" s="18" t="str">
        <x:v>gitignore generator</x:v>
      </x:c>
      <x:c r="C175" s="19" t="n">
        <x:v>8100</x:v>
      </x:c>
      <x:c r="D175" s="18" t="str">
        <x:v>Sí</x:v>
      </x:c>
      <x:c r="E175" s="18" t="str">
        <x:v>2025-10 / 2026-09</x:v>
      </x:c>
      <x:c r="F175" s="18" t="str">
        <x:v>Global · sin filtro de idioma</x:v>
      </x:c>
      <x:c r="G175" s="18" t="str">
        <x:v>search_volume</x:v>
      </x:c>
      <x:c r="H175" s="18" t="str">
        <x:v>global-initial-screen.json</x:v>
      </x:c>
      <x:c r="I175" s="18" t="str">
        <x:v>10181645-1949-0367-0000-721aab5cac1a</x:v>
      </x:c>
      <x:c r="J175" s="18" t="str">
        <x:v>No</x:v>
      </x:c>
    </x:row>
    <x:row r="176" ht="34" customHeight="1">
      <x:c r="A176" s="18" t="str">
        <x:v>gitignore-generator</x:v>
      </x:c>
      <x:c r="B176" s="18" t="str">
        <x:v>gitignore template</x:v>
      </x:c>
      <x:c r="C176" s="19" t="n">
        <x:v>1900</x:v>
      </x:c>
      <x:c r="D176" s="18" t="str">
        <x:v>No</x:v>
      </x:c>
      <x:c r="E176" s="18" t="str">
        <x:v>2025-10 / 2026-09</x:v>
      </x:c>
      <x:c r="F176" s="18" t="str">
        <x:v>Global · sin filtro de idioma</x:v>
      </x:c>
      <x:c r="G176" s="18" t="str">
        <x:v>search_volume</x:v>
      </x:c>
      <x:c r="H176" s="18" t="str">
        <x:v>global-candidates.json</x:v>
      </x:c>
      <x:c r="I176" s="18" t="str">
        <x:v>10181909-1949-0367-0000-d6f424f63198</x:v>
      </x:c>
      <x:c r="J176" s="18" t="str">
        <x:v>No</x:v>
      </x:c>
    </x:row>
    <x:row r="177" ht="34" customHeight="1">
      <x:c r="A177" s="18" t="str">
        <x:v>gitignore-generator</x:v>
      </x:c>
      <x:c r="B177" s="18" t="str">
        <x:v>generate gitignore</x:v>
      </x:c>
      <x:c r="C177" s="19" t="n">
        <x:v>8100</x:v>
      </x:c>
      <x:c r="D177" s="18" t="str">
        <x:v>No</x:v>
      </x:c>
      <x:c r="E177" s="18" t="str">
        <x:v>2025-10 / 2026-09</x:v>
      </x:c>
      <x:c r="F177" s="18" t="str">
        <x:v>Global · sin filtro de idioma</x:v>
      </x:c>
      <x:c r="G177" s="18" t="str">
        <x:v>search_volume</x:v>
      </x:c>
      <x:c r="H177" s="18" t="str">
        <x:v>global-candidates.json</x:v>
      </x:c>
      <x:c r="I177" s="18" t="str">
        <x:v>10181909-1949-0367-0000-d6f424f63198</x:v>
      </x:c>
      <x:c r="J177" s="18" t="str">
        <x:v>No</x:v>
      </x:c>
    </x:row>
    <x:row r="178" ht="34" customHeight="1">
      <x:c r="A178" s="18" t="str">
        <x:v>software-license-chooser</x:v>
      </x:c>
      <x:c r="B178" s="18" t="str">
        <x:v>license chooser</x:v>
      </x:c>
      <x:c r="C178" s="19" t="n">
        <x:v>90</x:v>
      </x:c>
      <x:c r="D178" s="18" t="str">
        <x:v>No</x:v>
      </x:c>
      <x:c r="E178" s="18" t="str">
        <x:v>2025-10 / 2026-09</x:v>
      </x:c>
      <x:c r="F178" s="18" t="str">
        <x:v>Global · sin filtro de idioma</x:v>
      </x:c>
      <x:c r="G178" s="18" t="str">
        <x:v>search_volume</x:v>
      </x:c>
      <x:c r="H178" s="18" t="str">
        <x:v>global-candidates.json</x:v>
      </x:c>
      <x:c r="I178" s="18" t="str">
        <x:v>10181909-1949-0367-0000-d6f424f63198</x:v>
      </x:c>
      <x:c r="J178" s="18" t="str">
        <x:v>No</x:v>
      </x:c>
    </x:row>
    <x:row r="179" ht="34" customHeight="1">
      <x:c r="A179" s="18" t="str">
        <x:v>software-license-chooser</x:v>
      </x:c>
      <x:c r="B179" s="18" t="str">
        <x:v>choose a license</x:v>
      </x:c>
      <x:c r="C179" s="19" t="n">
        <x:v>1000</x:v>
      </x:c>
      <x:c r="D179" s="18" t="str">
        <x:v>Sí</x:v>
      </x:c>
      <x:c r="E179" s="18" t="str">
        <x:v>2025-10 / 2026-09</x:v>
      </x:c>
      <x:c r="F179" s="18" t="str">
        <x:v>Global · sin filtro de idioma</x:v>
      </x:c>
      <x:c r="G179" s="18" t="str">
        <x:v>search_volume</x:v>
      </x:c>
      <x:c r="H179" s="18" t="str">
        <x:v>global-candidates.json</x:v>
      </x:c>
      <x:c r="I179" s="18" t="str">
        <x:v>10181909-1949-0367-0000-d6f424f63198</x:v>
      </x:c>
      <x:c r="J179" s="18" t="str">
        <x:v>No</x:v>
      </x:c>
    </x:row>
    <x:row r="180" ht="34" customHeight="1">
      <x:c r="A180" s="18" t="str">
        <x:v>software-license-chooser</x:v>
      </x:c>
      <x:c r="B180" s="18" t="str">
        <x:v>licencia software</x:v>
      </x:c>
      <x:c r="C180" s="19" t="n">
        <x:v>390</x:v>
      </x:c>
      <x:c r="D180" s="18" t="str">
        <x:v>No</x:v>
      </x:c>
      <x:c r="E180" s="18" t="str">
        <x:v>2025-10 / 2026-09</x:v>
      </x:c>
      <x:c r="F180" s="18" t="str">
        <x:v>Global · sin filtro de idioma</x:v>
      </x:c>
      <x:c r="G180" s="18" t="str">
        <x:v>search_volume</x:v>
      </x:c>
      <x:c r="H180" s="18" t="str">
        <x:v>global-candidates.json</x:v>
      </x:c>
      <x:c r="I180" s="18" t="str">
        <x:v>10181909-1949-0367-0000-d6f424f63198</x:v>
      </x:c>
      <x:c r="J180" s="18" t="str">
        <x:v>No</x:v>
      </x:c>
    </x:row>
    <x:row r="181" ht="34" customHeight="1">
      <x:c r="A181" s="18" t="str">
        <x:v>http-response-checker</x:v>
      </x:c>
      <x:c r="B181" s="18" t="str">
        <x:v>http status checker</x:v>
      </x:c>
      <x:c r="C181" s="19" t="n">
        <x:v>1900</x:v>
      </x:c>
      <x:c r="D181" s="18" t="str">
        <x:v>No</x:v>
      </x:c>
      <x:c r="E181" s="18" t="str">
        <x:v>2025-10 / 2026-09</x:v>
      </x:c>
      <x:c r="F181" s="18" t="str">
        <x:v>Global · sin filtro de idioma</x:v>
      </x:c>
      <x:c r="G181" s="18" t="str">
        <x:v>search_volume</x:v>
      </x:c>
      <x:c r="H181" s="18" t="str">
        <x:v>global-candidates.json</x:v>
      </x:c>
      <x:c r="I181" s="18" t="str">
        <x:v>10181909-1949-0367-0000-d6f424f63198</x:v>
      </x:c>
      <x:c r="J181" s="18" t="str">
        <x:v>No</x:v>
      </x:c>
    </x:row>
    <x:row r="182" ht="34" customHeight="1">
      <x:c r="A182" s="18" t="str">
        <x:v>http-response-checker</x:v>
      </x:c>
      <x:c r="B182" s="18" t="str">
        <x:v>redirect checker</x:v>
      </x:c>
      <x:c r="C182" s="19" t="n">
        <x:v>33100</x:v>
      </x:c>
      <x:c r="D182" s="18" t="str">
        <x:v>Sí</x:v>
      </x:c>
      <x:c r="E182" s="18" t="str">
        <x:v>2025-10 / 2026-09</x:v>
      </x:c>
      <x:c r="F182" s="18" t="str">
        <x:v>Global · sin filtro de idioma</x:v>
      </x:c>
      <x:c r="G182" s="18" t="str">
        <x:v>search_volume</x:v>
      </x:c>
      <x:c r="H182" s="18" t="str">
        <x:v>global-candidates.json</x:v>
      </x:c>
      <x:c r="I182" s="18" t="str">
        <x:v>10181909-1949-0367-0000-d6f424f63198</x:v>
      </x:c>
      <x:c r="J182" s="18" t="str">
        <x:v>No</x:v>
      </x:c>
    </x:row>
    <x:row r="183" ht="34" customHeight="1">
      <x:c r="A183" s="18" t="str">
        <x:v>http-response-checker</x:v>
      </x:c>
      <x:c r="B183" s="18" t="str">
        <x:v>website status checker</x:v>
      </x:c>
      <x:c r="C183" s="19" t="n">
        <x:v>9900</x:v>
      </x:c>
      <x:c r="D183" s="18" t="str">
        <x:v>No</x:v>
      </x:c>
      <x:c r="E183" s="18" t="str">
        <x:v>2025-10 / 2026-09</x:v>
      </x:c>
      <x:c r="F183" s="18" t="str">
        <x:v>Global · sin filtro de idioma</x:v>
      </x:c>
      <x:c r="G183" s="18" t="str">
        <x:v>search_volume</x:v>
      </x:c>
      <x:c r="H183" s="18" t="str">
        <x:v>global-candidates.json</x:v>
      </x:c>
      <x:c r="I183" s="18" t="str">
        <x:v>10181909-1949-0367-0000-d6f424f63198</x:v>
      </x:c>
      <x:c r="J183" s="18" t="str">
        <x:v>No</x:v>
      </x:c>
    </x:row>
    <x:row r="184" ht="34" customHeight="1">
      <x:c r="A184" s="18" t="str">
        <x:v>dns-lookup</x:v>
      </x:c>
      <x:c r="B184" s="18" t="str">
        <x:v>dns lookup</x:v>
      </x:c>
      <x:c r="C184" s="19" t="n">
        <x:v>165000</x:v>
      </x:c>
      <x:c r="D184" s="18" t="str">
        <x:v>No</x:v>
      </x:c>
      <x:c r="E184" s="18" t="str">
        <x:v>2025-10 / 2026-09</x:v>
      </x:c>
      <x:c r="F184" s="18" t="str">
        <x:v>Global · sin filtro de idioma</x:v>
      </x:c>
      <x:c r="G184" s="18" t="str">
        <x:v>search_volume</x:v>
      </x:c>
      <x:c r="H184" s="18" t="str">
        <x:v>global-initial-screen.json</x:v>
      </x:c>
      <x:c r="I184" s="18" t="str">
        <x:v>10181645-1949-0367-0000-721aab5cac1a</x:v>
      </x:c>
      <x:c r="J184" s="18" t="str">
        <x:v>No</x:v>
      </x:c>
    </x:row>
    <x:row r="185" ht="34" customHeight="1">
      <x:c r="A185" s="18" t="str">
        <x:v>dns-lookup</x:v>
      </x:c>
      <x:c r="B185" s="18" t="str">
        <x:v>dns checker</x:v>
      </x:c>
      <x:c r="C185" s="19" t="n">
        <x:v>368000</x:v>
      </x:c>
      <x:c r="D185" s="18" t="str">
        <x:v>Sí</x:v>
      </x:c>
      <x:c r="E185" s="18" t="str">
        <x:v>2025-10 / 2026-09</x:v>
      </x:c>
      <x:c r="F185" s="18" t="str">
        <x:v>Global · sin filtro de idioma</x:v>
      </x:c>
      <x:c r="G185" s="18" t="str">
        <x:v>search_volume</x:v>
      </x:c>
      <x:c r="H185" s="18" t="str">
        <x:v>global-candidates.json</x:v>
      </x:c>
      <x:c r="I185" s="18" t="str">
        <x:v>10181909-1949-0367-0000-d6f424f63198</x:v>
      </x:c>
      <x:c r="J185" s="18" t="str">
        <x:v>No</x:v>
      </x:c>
    </x:row>
    <x:row r="186" ht="34" customHeight="1">
      <x:c r="A186" s="18" t="str">
        <x:v>dns-lookup</x:v>
      </x:c>
      <x:c r="B186" s="18" t="str">
        <x:v>nslookup</x:v>
      </x:c>
      <x:c r="C186" s="19" t="n">
        <x:v>165000</x:v>
      </x:c>
      <x:c r="D186" s="18" t="str">
        <x:v>No</x:v>
      </x:c>
      <x:c r="E186" s="18" t="str">
        <x:v>2025-10 / 2026-09</x:v>
      </x:c>
      <x:c r="F186" s="18" t="str">
        <x:v>Global · sin filtro de idioma</x:v>
      </x:c>
      <x:c r="G186" s="18" t="str">
        <x:v>search_volume</x:v>
      </x:c>
      <x:c r="H186" s="18" t="str">
        <x:v>global-candidates.json</x:v>
      </x:c>
      <x:c r="I186" s="18" t="str">
        <x:v>10181909-1949-0367-0000-d6f424f63198</x:v>
      </x:c>
      <x:c r="J186" s="18" t="str">
        <x:v>No</x:v>
      </x:c>
    </x:row>
    <x:row r="187" ht="34" customHeight="1">
      <x:c r="A187" s="18" t="str">
        <x:v>ip-geolocation-lookup</x:v>
      </x:c>
      <x:c r="B187" s="18" t="str">
        <x:v>ip lookup</x:v>
      </x:c>
      <x:c r="C187" s="19" t="n">
        <x:v>368000</x:v>
      </x:c>
      <x:c r="D187" s="18" t="str">
        <x:v>Sí</x:v>
      </x:c>
      <x:c r="E187" s="18" t="str">
        <x:v>2025-10 / 2026-09</x:v>
      </x:c>
      <x:c r="F187" s="18" t="str">
        <x:v>Global · sin filtro de idioma</x:v>
      </x:c>
      <x:c r="G187" s="18" t="str">
        <x:v>search_volume</x:v>
      </x:c>
      <x:c r="H187" s="18" t="str">
        <x:v>global-initial-screen.json</x:v>
      </x:c>
      <x:c r="I187" s="18" t="str">
        <x:v>10181645-1949-0367-0000-721aab5cac1a</x:v>
      </x:c>
      <x:c r="J187" s="18" t="str">
        <x:v>No</x:v>
      </x:c>
    </x:row>
    <x:row r="188" ht="34" customHeight="1">
      <x:c r="A188" s="18" t="str">
        <x:v>ip-geolocation-lookup</x:v>
      </x:c>
      <x:c r="B188" s="18" t="str">
        <x:v>ip location</x:v>
      </x:c>
      <x:c r="C188" s="19" t="n">
        <x:v>301000</x:v>
      </x:c>
      <x:c r="D188" s="18" t="str">
        <x:v>No</x:v>
      </x:c>
      <x:c r="E188" s="18" t="str">
        <x:v>2025-10 / 2026-09</x:v>
      </x:c>
      <x:c r="F188" s="18" t="str">
        <x:v>Global · sin filtro de idioma</x:v>
      </x:c>
      <x:c r="G188" s="18" t="str">
        <x:v>search_volume</x:v>
      </x:c>
      <x:c r="H188" s="18" t="str">
        <x:v>global-candidates.json</x:v>
      </x:c>
      <x:c r="I188" s="18" t="str">
        <x:v>10181909-1949-0367-0000-d6f424f63198</x:v>
      </x:c>
      <x:c r="J188" s="18" t="str">
        <x:v>No</x:v>
      </x:c>
    </x:row>
    <x:row r="189" ht="34" customHeight="1">
      <x:c r="A189" s="18" t="str">
        <x:v>rdap-domain-lookup</x:v>
      </x:c>
      <x:c r="B189" s="18" t="str">
        <x:v>whois</x:v>
      </x:c>
      <x:c r="C189" s="19" t="n">
        <x:v>1500000</x:v>
      </x:c>
      <x:c r="D189" s="18" t="str">
        <x:v>Sí</x:v>
      </x:c>
      <x:c r="E189" s="18" t="str">
        <x:v>2025-10 / 2026-09</x:v>
      </x:c>
      <x:c r="F189" s="18" t="str">
        <x:v>Global · sin filtro de idioma</x:v>
      </x:c>
      <x:c r="G189" s="18" t="str">
        <x:v>search_volume</x:v>
      </x:c>
      <x:c r="H189" s="18" t="str">
        <x:v>global-candidates.json</x:v>
      </x:c>
      <x:c r="I189" s="18" t="str">
        <x:v>10181909-1949-0367-0000-d6f424f63198</x:v>
      </x:c>
      <x:c r="J189" s="18" t="str">
        <x:v>No</x:v>
      </x:c>
    </x:row>
    <x:row r="190" ht="34" customHeight="1">
      <x:c r="A190" s="18" t="str">
        <x:v>rdap-domain-lookup</x:v>
      </x:c>
      <x:c r="B190" s="18" t="str">
        <x:v>whois lookup</x:v>
      </x:c>
      <x:c r="C190" s="19" t="n">
        <x:v>165000</x:v>
      </x:c>
      <x:c r="D190" s="18" t="str">
        <x:v>No</x:v>
      </x:c>
      <x:c r="E190" s="18" t="str">
        <x:v>2025-10 / 2026-09</x:v>
      </x:c>
      <x:c r="F190" s="18" t="str">
        <x:v>Global · sin filtro de idioma</x:v>
      </x:c>
      <x:c r="G190" s="18" t="str">
        <x:v>search_volume</x:v>
      </x:c>
      <x:c r="H190" s="18" t="str">
        <x:v>global-initial-screen.json</x:v>
      </x:c>
      <x:c r="I190" s="18" t="str">
        <x:v>10181645-1949-0367-0000-721aab5cac1a</x:v>
      </x:c>
      <x:c r="J190" s="18" t="str">
        <x:v>No</x:v>
      </x:c>
    </x:row>
    <x:row r="191" ht="34" customHeight="1">
      <x:c r="A191" s="18" t="str">
        <x:v>rdap-domain-lookup</x:v>
      </x:c>
      <x:c r="B191" s="18" t="str">
        <x:v>domain lookup</x:v>
      </x:c>
      <x:c r="C191" s="19" t="n">
        <x:v>60500</x:v>
      </x:c>
      <x:c r="D191" s="18" t="str">
        <x:v>No</x:v>
      </x:c>
      <x:c r="E191" s="18" t="str">
        <x:v>2025-10 / 2026-09</x:v>
      </x:c>
      <x:c r="F191" s="18" t="str">
        <x:v>Global · sin filtro de idioma</x:v>
      </x:c>
      <x:c r="G191" s="18" t="str">
        <x:v>search_volume</x:v>
      </x:c>
      <x:c r="H191" s="18" t="str">
        <x:v>global-candidates.json</x:v>
      </x:c>
      <x:c r="I191" s="18" t="str">
        <x:v>10181909-1949-0367-0000-d6f424f63198</x:v>
      </x:c>
      <x:c r="J191" s="18" t="str">
        <x:v>No</x:v>
      </x:c>
    </x:row>
    <x:row r="192" ht="34" customHeight="1">
      <x:c r="A192" s="18" t="str">
        <x:v>tls-site-checker</x:v>
      </x:c>
      <x:c r="B192" s="18" t="str">
        <x:v>ssl checker</x:v>
      </x:c>
      <x:c r="C192" s="19" t="n">
        <x:v>74000</x:v>
      </x:c>
      <x:c r="D192" s="18" t="str">
        <x:v>Sí</x:v>
      </x:c>
      <x:c r="E192" s="18" t="str">
        <x:v>2025-10 / 2026-09</x:v>
      </x:c>
      <x:c r="F192" s="18" t="str">
        <x:v>Global · sin filtro de idioma</x:v>
      </x:c>
      <x:c r="G192" s="18" t="str">
        <x:v>search_volume</x:v>
      </x:c>
      <x:c r="H192" s="18" t="str">
        <x:v>global-initial-screen.json</x:v>
      </x:c>
      <x:c r="I192" s="18" t="str">
        <x:v>10181645-1949-0367-0000-721aab5cac1a</x:v>
      </x:c>
      <x:c r="J192" s="18" t="str">
        <x:v>No</x:v>
      </x:c>
    </x:row>
    <x:row r="193" ht="34" customHeight="1">
      <x:c r="A193" s="18" t="str">
        <x:v>tls-site-checker</x:v>
      </x:c>
      <x:c r="B193" s="18" t="str">
        <x:v>ssl certificate checker</x:v>
      </x:c>
      <x:c r="C193" s="19" t="n">
        <x:v>14800</x:v>
      </x:c>
      <x:c r="D193" s="18" t="str">
        <x:v>No</x:v>
      </x:c>
      <x:c r="E193" s="18" t="str">
        <x:v>2025-10 / 2026-09</x:v>
      </x:c>
      <x:c r="F193" s="18" t="str">
        <x:v>Global · sin filtro de idioma</x:v>
      </x:c>
      <x:c r="G193" s="18" t="str">
        <x:v>search_volume</x:v>
      </x:c>
      <x:c r="H193" s="18" t="str">
        <x:v>global-candidates.json</x:v>
      </x:c>
      <x:c r="I193" s="18" t="str">
        <x:v>10181909-1949-0367-0000-d6f424f63198</x:v>
      </x:c>
      <x:c r="J193" s="18" t="str">
        <x:v>No</x:v>
      </x:c>
    </x:row>
    <x:row r="194" ht="34" customHeight="1">
      <x:c r="A194" s="18" t="str">
        <x:v>tls-site-checker</x:v>
      </x:c>
      <x:c r="B194" s="18" t="str">
        <x:v>tls checker</x:v>
      </x:c>
      <x:c r="C194" s="19" t="n">
        <x:v>5400</x:v>
      </x:c>
      <x:c r="D194" s="18" t="str">
        <x:v>No</x:v>
      </x:c>
      <x:c r="E194" s="18" t="str">
        <x:v>2025-10 / 2026-09</x:v>
      </x:c>
      <x:c r="F194" s="18" t="str">
        <x:v>Global · sin filtro de idioma</x:v>
      </x:c>
      <x:c r="G194" s="18" t="str">
        <x:v>search_volume</x:v>
      </x:c>
      <x:c r="H194" s="18" t="str">
        <x:v>global-candidates.json</x:v>
      </x:c>
      <x:c r="I194" s="18" t="str">
        <x:v>10181909-1949-0367-0000-d6f424f63198</x:v>
      </x:c>
      <x:c r="J194" s="18" t="str">
        <x:v>No</x:v>
      </x:c>
    </x:row>
    <x:row r="195" ht="34" customHeight="1">
      <x:c r="A195" s="18" t="str">
        <x:v>totp-authenticator</x:v>
      </x:c>
      <x:c r="B195" s="18" t="str">
        <x:v>totp generator</x:v>
      </x:c>
      <x:c r="C195" s="19" t="n">
        <x:v>8100</x:v>
      </x:c>
      <x:c r="D195" s="18" t="str">
        <x:v>Sí</x:v>
      </x:c>
      <x:c r="E195" s="18" t="str">
        <x:v>2025-10 / 2026-09</x:v>
      </x:c>
      <x:c r="F195" s="18" t="str">
        <x:v>Global · sin filtro de idioma</x:v>
      </x:c>
      <x:c r="G195" s="18" t="str">
        <x:v>search_volume</x:v>
      </x:c>
      <x:c r="H195" s="18" t="str">
        <x:v>global-candidates.json</x:v>
      </x:c>
      <x:c r="I195" s="18" t="str">
        <x:v>10181909-1949-0367-0000-d6f424f63198</x:v>
      </x:c>
      <x:c r="J195" s="18" t="str">
        <x:v>No</x:v>
      </x:c>
    </x:row>
    <x:row r="196" ht="34" customHeight="1">
      <x:c r="A196" s="18" t="str">
        <x:v>totp-authenticator</x:v>
      </x:c>
      <x:c r="B196" s="18" t="str">
        <x:v>authenticator online</x:v>
      </x:c>
      <x:c r="C196" s="19" t="n">
        <x:v>2900</x:v>
      </x:c>
      <x:c r="D196" s="18" t="str">
        <x:v>No</x:v>
      </x:c>
      <x:c r="E196" s="18" t="str">
        <x:v>2025-10 / 2026-09</x:v>
      </x:c>
      <x:c r="F196" s="18" t="str">
        <x:v>Global · sin filtro de idioma</x:v>
      </x:c>
      <x:c r="G196" s="18" t="str">
        <x:v>search_volume</x:v>
      </x:c>
      <x:c r="H196" s="18" t="str">
        <x:v>global-candidates.json</x:v>
      </x:c>
      <x:c r="I196" s="18" t="str">
        <x:v>10181909-1949-0367-0000-d6f424f63198</x:v>
      </x:c>
      <x:c r="J196" s="18" t="str">
        <x:v>No</x:v>
      </x:c>
    </x:row>
    <x:row r="197" ht="34" customHeight="1">
      <x:c r="A197" s="18" t="str">
        <x:v>totp-authenticator</x:v>
      </x:c>
      <x:c r="B197" s="18" t="str">
        <x:v>2fa code generator</x:v>
      </x:c>
      <x:c r="C197" s="19" t="n">
        <x:v>720</x:v>
      </x:c>
      <x:c r="D197" s="18" t="str">
        <x:v>No</x:v>
      </x:c>
      <x:c r="E197" s="18" t="str">
        <x:v>2025-10 / 2026-09</x:v>
      </x:c>
      <x:c r="F197" s="18" t="str">
        <x:v>Global · sin filtro de idioma</x:v>
      </x:c>
      <x:c r="G197" s="18" t="str">
        <x:v>search_volume</x:v>
      </x:c>
      <x:c r="H197" s="18" t="str">
        <x:v>global-candidates.json</x:v>
      </x:c>
      <x:c r="I197" s="18" t="str">
        <x:v>10181909-1949-0367-0000-d6f424f63198</x:v>
      </x:c>
      <x:c r="J197" s="18" t="str">
        <x:v>No</x:v>
      </x:c>
    </x:row>
    <x:row r="198" ht="34" customHeight="1">
      <x:c r="A198" s="18" t="str">
        <x:v>password-strength-checker</x:v>
      </x:c>
      <x:c r="B198" s="18" t="str">
        <x:v>password strength checker</x:v>
      </x:c>
      <x:c r="C198" s="19" t="n">
        <x:v>27100</x:v>
      </x:c>
      <x:c r="D198" s="18" t="str">
        <x:v>No</x:v>
      </x:c>
      <x:c r="E198" s="18" t="str">
        <x:v>2025-10 / 2026-09</x:v>
      </x:c>
      <x:c r="F198" s="18" t="str">
        <x:v>Global · sin filtro de idioma</x:v>
      </x:c>
      <x:c r="G198" s="18" t="str">
        <x:v>search_volume</x:v>
      </x:c>
      <x:c r="H198" s="18" t="str">
        <x:v>global-initial-screen.json</x:v>
      </x:c>
      <x:c r="I198" s="18" t="str">
        <x:v>10181645-1949-0367-0000-721aab5cac1a</x:v>
      </x:c>
      <x:c r="J198" s="18" t="str">
        <x:v>No</x:v>
      </x:c>
    </x:row>
    <x:row r="199" ht="34" customHeight="1">
      <x:c r="A199" s="18" t="str">
        <x:v>password-strength-checker</x:v>
      </x:c>
      <x:c r="B199" s="18" t="str">
        <x:v>password checker</x:v>
      </x:c>
      <x:c r="C199" s="19" t="n">
        <x:v>60500</x:v>
      </x:c>
      <x:c r="D199" s="18" t="str">
        <x:v>Sí</x:v>
      </x:c>
      <x:c r="E199" s="18" t="str">
        <x:v>2025-10 / 2026-09</x:v>
      </x:c>
      <x:c r="F199" s="18" t="str">
        <x:v>Global · sin filtro de idioma</x:v>
      </x:c>
      <x:c r="G199" s="18" t="str">
        <x:v>search_volume</x:v>
      </x:c>
      <x:c r="H199" s="18" t="str">
        <x:v>global-candidates.json</x:v>
      </x:c>
      <x:c r="I199" s="18" t="str">
        <x:v>10181909-1949-0367-0000-d6f424f63198</x:v>
      </x:c>
      <x:c r="J199" s="18" t="str">
        <x:v>No</x:v>
      </x:c>
    </x:row>
    <x:row r="200" ht="34" customHeight="1">
      <x:c r="A200" s="18" t="str">
        <x:v>password-strength-checker</x:v>
      </x:c>
      <x:c r="B200" s="18" t="str">
        <x:v>test password</x:v>
      </x:c>
      <x:c r="C200" s="19" t="n">
        <x:v>60500</x:v>
      </x:c>
      <x:c r="D200" s="18" t="str">
        <x:v>No</x:v>
      </x:c>
      <x:c r="E200" s="18" t="str">
        <x:v>2025-10 / 2026-09</x:v>
      </x:c>
      <x:c r="F200" s="18" t="str">
        <x:v>Global · sin filtro de idioma</x:v>
      </x:c>
      <x:c r="G200" s="18" t="str">
        <x:v>search_volume</x:v>
      </x:c>
      <x:c r="H200" s="18" t="str">
        <x:v>global-candidates.json</x:v>
      </x:c>
      <x:c r="I200" s="18" t="str">
        <x:v>10181909-1949-0367-0000-d6f424f63198</x:v>
      </x:c>
      <x:c r="J200" s="18" t="str">
        <x:v>No</x:v>
      </x:c>
    </x:row>
    <x:row r="201" ht="34" customHeight="1">
      <x:c r="A201" s="18" t="str">
        <x:v>password-breach-checker</x:v>
      </x:c>
      <x:c r="B201" s="18" t="str">
        <x:v>pwned passwords</x:v>
      </x:c>
      <x:c r="C201" s="19" t="n">
        <x:v>12100</x:v>
      </x:c>
      <x:c r="D201" s="18" t="str">
        <x:v>Sí</x:v>
      </x:c>
      <x:c r="E201" s="18" t="str">
        <x:v>2025-10 / 2026-09</x:v>
      </x:c>
      <x:c r="F201" s="18" t="str">
        <x:v>Global · sin filtro de idioma</x:v>
      </x:c>
      <x:c r="G201" s="18" t="str">
        <x:v>search_volume</x:v>
      </x:c>
      <x:c r="H201" s="18" t="str">
        <x:v>global-candidates.json</x:v>
      </x:c>
      <x:c r="I201" s="18" t="str">
        <x:v>10181909-1949-0367-0000-d6f424f63198</x:v>
      </x:c>
      <x:c r="J201" s="18" t="str">
        <x:v>No</x:v>
      </x:c>
    </x:row>
    <x:row r="202" ht="34" customHeight="1">
      <x:c r="A202" s="18" t="str">
        <x:v>password-breach-checker</x:v>
      </x:c>
      <x:c r="B202" s="18" t="str">
        <x:v>password breach checker</x:v>
      </x:c>
      <x:c r="C202" s="19" t="n">
        <x:v>1000</x:v>
      </x:c>
      <x:c r="D202" s="18" t="str">
        <x:v>No</x:v>
      </x:c>
      <x:c r="E202" s="18" t="str">
        <x:v>2025-10 / 2026-09</x:v>
      </x:c>
      <x:c r="F202" s="18" t="str">
        <x:v>Global · sin filtro de idioma</x:v>
      </x:c>
      <x:c r="G202" s="18" t="str">
        <x:v>search_volume</x:v>
      </x:c>
      <x:c r="H202" s="18" t="str">
        <x:v>global-candidates.json</x:v>
      </x:c>
      <x:c r="I202" s="18" t="str">
        <x:v>10181909-1949-0367-0000-d6f424f63198</x:v>
      </x:c>
      <x:c r="J202" s="18" t="str">
        <x:v>No</x:v>
      </x:c>
    </x:row>
    <x:row r="203" ht="34" customHeight="1">
      <x:c r="A203" s="18" t="str">
        <x:v>password-breach-checker</x:v>
      </x:c>
      <x:c r="B203" s="18" t="str">
        <x:v>have i been pwned password</x:v>
      </x:c>
      <x:c r="C203" s="19" t="n">
        <x:v>9900</x:v>
      </x:c>
      <x:c r="D203" s="18" t="str">
        <x:v>No</x:v>
      </x:c>
      <x:c r="E203" s="18" t="str">
        <x:v>2025-10 / 2026-09</x:v>
      </x:c>
      <x:c r="F203" s="18" t="str">
        <x:v>Global · sin filtro de idioma</x:v>
      </x:c>
      <x:c r="G203" s="18" t="str">
        <x:v>search_volume</x:v>
      </x:c>
      <x:c r="H203" s="18" t="str">
        <x:v>global-candidates.json</x:v>
      </x:c>
      <x:c r="I203" s="18" t="str">
        <x:v>10181909-1949-0367-0000-d6f424f63198</x:v>
      </x:c>
      <x:c r="J203" s="18" t="str">
        <x:v>No</x:v>
      </x:c>
    </x:row>
    <x:row r="204" ht="34" customHeight="1">
      <x:c r="A204" s="18" t="str">
        <x:v>email-address-validator</x:v>
      </x:c>
      <x:c r="B204" s="18" t="str">
        <x:v>email validator</x:v>
      </x:c>
      <x:c r="C204" s="19" t="n">
        <x:v>27100</x:v>
      </x:c>
      <x:c r="D204" s="18" t="str">
        <x:v>No</x:v>
      </x:c>
      <x:c r="E204" s="18" t="str">
        <x:v>2025-10 / 2026-09</x:v>
      </x:c>
      <x:c r="F204" s="18" t="str">
        <x:v>Global · sin filtro de idioma</x:v>
      </x:c>
      <x:c r="G204" s="18" t="str">
        <x:v>search_volume</x:v>
      </x:c>
      <x:c r="H204" s="18" t="str">
        <x:v>global-candidates.json</x:v>
      </x:c>
      <x:c r="I204" s="18" t="str">
        <x:v>10181909-1949-0367-0000-d6f424f63198</x:v>
      </x:c>
      <x:c r="J204" s="18" t="str">
        <x:v>No</x:v>
      </x:c>
    </x:row>
    <x:row r="205" ht="34" customHeight="1">
      <x:c r="A205" s="18" t="str">
        <x:v>email-address-validator</x:v>
      </x:c>
      <x:c r="B205" s="18" t="str">
        <x:v>email checker</x:v>
      </x:c>
      <x:c r="C205" s="19" t="n">
        <x:v>135000</x:v>
      </x:c>
      <x:c r="D205" s="18" t="str">
        <x:v>Sí</x:v>
      </x:c>
      <x:c r="E205" s="18" t="str">
        <x:v>2025-10 / 2026-09</x:v>
      </x:c>
      <x:c r="F205" s="18" t="str">
        <x:v>Global · sin filtro de idioma</x:v>
      </x:c>
      <x:c r="G205" s="18" t="str">
        <x:v>search_volume</x:v>
      </x:c>
      <x:c r="H205" s="18" t="str">
        <x:v>global-candidates.json</x:v>
      </x:c>
      <x:c r="I205" s="18" t="str">
        <x:v>10181909-1949-0367-0000-d6f424f63198</x:v>
      </x:c>
      <x:c r="J205" s="18" t="str">
        <x:v>No</x:v>
      </x:c>
    </x:row>
    <x:row r="206" ht="34" customHeight="1">
      <x:c r="A206" s="18" t="str">
        <x:v>email-address-validator</x:v>
      </x:c>
      <x:c r="B206" s="18" t="str">
        <x:v>validar email</x:v>
      </x:c>
      <x:c r="C206" s="19" t="n">
        <x:v>2400</x:v>
      </x:c>
      <x:c r="D206" s="18" t="str">
        <x:v>No</x:v>
      </x:c>
      <x:c r="E206" s="18" t="str">
        <x:v>2025-10 / 2026-09</x:v>
      </x:c>
      <x:c r="F206" s="18" t="str">
        <x:v>Global · sin filtro de idioma</x:v>
      </x:c>
      <x:c r="G206" s="18" t="str">
        <x:v>search_volume</x:v>
      </x:c>
      <x:c r="H206" s="18" t="str">
        <x:v>global-candidates.json</x:v>
      </x:c>
      <x:c r="I206" s="18" t="str">
        <x:v>10181909-1949-0367-0000-d6f424f63198</x:v>
      </x:c>
      <x:c r="J206" s="18" t="str">
        <x:v>No</x:v>
      </x:c>
    </x:row>
    <x:row r="207" ht="34" customHeight="1">
      <x:c r="A207" s="18" t="str">
        <x:v>email-header-analyzer</x:v>
      </x:c>
      <x:c r="B207" s="18" t="str">
        <x:v>email header analyzer</x:v>
      </x:c>
      <x:c r="C207" s="19" t="n">
        <x:v>14800</x:v>
      </x:c>
      <x:c r="D207" s="18" t="str">
        <x:v>Sí</x:v>
      </x:c>
      <x:c r="E207" s="18" t="str">
        <x:v>2025-10 / 2026-09</x:v>
      </x:c>
      <x:c r="F207" s="18" t="str">
        <x:v>Global · sin filtro de idioma</x:v>
      </x:c>
      <x:c r="G207" s="18" t="str">
        <x:v>search_volume</x:v>
      </x:c>
      <x:c r="H207" s="18" t="str">
        <x:v>global-candidates.json</x:v>
      </x:c>
      <x:c r="I207" s="18" t="str">
        <x:v>10181909-1949-0367-0000-d6f424f63198</x:v>
      </x:c>
      <x:c r="J207" s="18" t="str">
        <x:v>No</x:v>
      </x:c>
    </x:row>
    <x:row r="208" ht="34" customHeight="1">
      <x:c r="A208" s="18" t="str">
        <x:v>email-header-analyzer</x:v>
      </x:c>
      <x:c r="B208" s="18" t="str">
        <x:v>analyze email headers</x:v>
      </x:c>
      <x:c r="C208" s="19" t="n">
        <x:v>14800</x:v>
      </x:c>
      <x:c r="D208" s="18" t="str">
        <x:v>No</x:v>
      </x:c>
      <x:c r="E208" s="18" t="str">
        <x:v>2025-10 / 2026-09</x:v>
      </x:c>
      <x:c r="F208" s="18" t="str">
        <x:v>Global · sin filtro de idioma</x:v>
      </x:c>
      <x:c r="G208" s="18" t="str">
        <x:v>search_volume</x:v>
      </x:c>
      <x:c r="H208" s="18" t="str">
        <x:v>global-candidates.json</x:v>
      </x:c>
      <x:c r="I208" s="18" t="str">
        <x:v>10181909-1949-0367-0000-d6f424f63198</x:v>
      </x:c>
      <x:c r="J208" s="18" t="str">
        <x:v>No</x:v>
      </x:c>
    </x:row>
    <x:row r="209" ht="34" customHeight="1">
      <x:c r="A209" s="18" t="str">
        <x:v>email-header-analyzer</x:v>
      </x:c>
      <x:c r="B209" s="18" t="str">
        <x:v>analizador cabeceras correo</x:v>
      </x:c>
      <x:c r="C209" s="19" t="n">
        <x:v>10</x:v>
      </x:c>
      <x:c r="D209" s="18" t="str">
        <x:v>No</x:v>
      </x:c>
      <x:c r="E209" s="18" t="str">
        <x:v>2025-10 / 2026-09</x:v>
      </x:c>
      <x:c r="F209" s="18" t="str">
        <x:v>Global · sin filtro de idioma</x:v>
      </x:c>
      <x:c r="G209" s="18" t="str">
        <x:v>search_volume</x:v>
      </x:c>
      <x:c r="H209" s="18" t="str">
        <x:v>global-candidates.json</x:v>
      </x:c>
      <x:c r="I209" s="18" t="str">
        <x:v>10181909-1949-0367-0000-d6f424f63198</x:v>
      </x:c>
      <x:c r="J209" s="18" t="str">
        <x:v>No</x:v>
      </x:c>
    </x:row>
    <x:row r="210" ht="34" customHeight="1">
      <x:c r="A210" s="18" t="str">
        <x:v>email-authentication-checker</x:v>
      </x:c>
      <x:c r="B210" s="18" t="str">
        <x:v>dmarc checker</x:v>
      </x:c>
      <x:c r="C210" s="19" t="n">
        <x:v>33100</x:v>
      </x:c>
      <x:c r="D210" s="18" t="str">
        <x:v>No</x:v>
      </x:c>
      <x:c r="E210" s="18" t="str">
        <x:v>2025-10 / 2026-09</x:v>
      </x:c>
      <x:c r="F210" s="18" t="str">
        <x:v>Global · sin filtro de idioma</x:v>
      </x:c>
      <x:c r="G210" s="18" t="str">
        <x:v>search_volume</x:v>
      </x:c>
      <x:c r="H210" s="18" t="str">
        <x:v>global-candidates.json</x:v>
      </x:c>
      <x:c r="I210" s="18" t="str">
        <x:v>10181909-1949-0367-0000-d6f424f63198</x:v>
      </x:c>
      <x:c r="J210" s="18" t="str">
        <x:v>No</x:v>
      </x:c>
    </x:row>
    <x:row r="211" ht="34" customHeight="1">
      <x:c r="A211" s="18" t="str">
        <x:v>email-authentication-checker</x:v>
      </x:c>
      <x:c r="B211" s="18" t="str">
        <x:v>spf checker</x:v>
      </x:c>
      <x:c r="C211" s="19" t="n">
        <x:v>40500</x:v>
      </x:c>
      <x:c r="D211" s="18" t="str">
        <x:v>Sí</x:v>
      </x:c>
      <x:c r="E211" s="18" t="str">
        <x:v>2025-10 / 2026-09</x:v>
      </x:c>
      <x:c r="F211" s="18" t="str">
        <x:v>Global · sin filtro de idioma</x:v>
      </x:c>
      <x:c r="G211" s="18" t="str">
        <x:v>search_volume</x:v>
      </x:c>
      <x:c r="H211" s="18" t="str">
        <x:v>global-candidates.json</x:v>
      </x:c>
      <x:c r="I211" s="18" t="str">
        <x:v>10181909-1949-0367-0000-d6f424f63198</x:v>
      </x:c>
      <x:c r="J211" s="18" t="str">
        <x:v>No</x:v>
      </x:c>
    </x:row>
    <x:row r="212" ht="34" customHeight="1">
      <x:c r="A212" s="18" t="str">
        <x:v>email-authentication-checker</x:v>
      </x:c>
      <x:c r="B212" s="18" t="str">
        <x:v>dkim checker</x:v>
      </x:c>
      <x:c r="C212" s="19" t="n">
        <x:v>33100</x:v>
      </x:c>
      <x:c r="D212" s="18" t="str">
        <x:v>No</x:v>
      </x:c>
      <x:c r="E212" s="18" t="str">
        <x:v>2025-10 / 2026-09</x:v>
      </x:c>
      <x:c r="F212" s="18" t="str">
        <x:v>Global · sin filtro de idioma</x:v>
      </x:c>
      <x:c r="G212" s="18" t="str">
        <x:v>search_volume</x:v>
      </x:c>
      <x:c r="H212" s="18" t="str">
        <x:v>global-candidates.json</x:v>
      </x:c>
      <x:c r="I212" s="18" t="str">
        <x:v>10181909-1949-0367-0000-d6f424f63198</x:v>
      </x:c>
      <x:c r="J212" s="18" t="str">
        <x:v>No</x:v>
      </x:c>
    </x:row>
    <x:row r="213" ht="34" customHeight="1">
      <x:c r="A213" s="18" t="str">
        <x:v>broken-link-checker</x:v>
      </x:c>
      <x:c r="B213" s="18" t="str">
        <x:v>broken link checker</x:v>
      </x:c>
      <x:c r="C213" s="19" t="n">
        <x:v>27100</x:v>
      </x:c>
      <x:c r="D213" s="18" t="str">
        <x:v>Sí</x:v>
      </x:c>
      <x:c r="E213" s="18" t="str">
        <x:v>2025-10 / 2026-09</x:v>
      </x:c>
      <x:c r="F213" s="18" t="str">
        <x:v>Global · sin filtro de idioma</x:v>
      </x:c>
      <x:c r="G213" s="18" t="str">
        <x:v>search_volume</x:v>
      </x:c>
      <x:c r="H213" s="18" t="str">
        <x:v>global-candidates.json</x:v>
      </x:c>
      <x:c r="I213" s="18" t="str">
        <x:v>10181909-1949-0367-0000-d6f424f63198</x:v>
      </x:c>
      <x:c r="J213" s="18" t="str">
        <x:v>No</x:v>
      </x:c>
    </x:row>
    <x:row r="214" ht="34" customHeight="1">
      <x:c r="A214" s="18" t="str">
        <x:v>broken-link-checker</x:v>
      </x:c>
      <x:c r="B214" s="18" t="str">
        <x:v>dead link checker</x:v>
      </x:c>
      <x:c r="C214" s="19" t="n">
        <x:v>6600</x:v>
      </x:c>
      <x:c r="D214" s="18" t="str">
        <x:v>No</x:v>
      </x:c>
      <x:c r="E214" s="18" t="str">
        <x:v>2025-10 / 2026-09</x:v>
      </x:c>
      <x:c r="F214" s="18" t="str">
        <x:v>Global · sin filtro de idioma</x:v>
      </x:c>
      <x:c r="G214" s="18" t="str">
        <x:v>search_volume</x:v>
      </x:c>
      <x:c r="H214" s="18" t="str">
        <x:v>global-candidates.json</x:v>
      </x:c>
      <x:c r="I214" s="18" t="str">
        <x:v>10181909-1949-0367-0000-d6f424f63198</x:v>
      </x:c>
      <x:c r="J214" s="18" t="str">
        <x:v>No</x:v>
      </x:c>
    </x:row>
    <x:row r="215" ht="34" customHeight="1">
      <x:c r="A215" s="18" t="str">
        <x:v>broken-link-checker</x:v>
      </x:c>
      <x:c r="B215" s="18" t="str">
        <x:v>comprobar enlaces rotos</x:v>
      </x:c>
      <x:c r="C215" s="19" t="n">
        <x:v>10</x:v>
      </x:c>
      <x:c r="D215" s="18" t="str">
        <x:v>No</x:v>
      </x:c>
      <x:c r="E215" s="18" t="str">
        <x:v>2025-10 / 2026-09</x:v>
      </x:c>
      <x:c r="F215" s="18" t="str">
        <x:v>Global · sin filtro de idioma</x:v>
      </x:c>
      <x:c r="G215" s="18" t="str">
        <x:v>search_volume</x:v>
      </x:c>
      <x:c r="H215" s="18" t="str">
        <x:v>global-candidates.json</x:v>
      </x:c>
      <x:c r="I215" s="18" t="str">
        <x:v>10181909-1949-0367-0000-d6f424f63198</x:v>
      </x:c>
      <x:c r="J215" s="18" t="str">
        <x:v>No</x:v>
      </x:c>
    </x:row>
    <x:row r="216" ht="34" customHeight="1">
      <x:c r="A216" s="18" t="str">
        <x:v>html-accessibility-auditor</x:v>
      </x:c>
      <x:c r="B216" s="18" t="str">
        <x:v>accessibility checker</x:v>
      </x:c>
      <x:c r="C216" s="19" t="n">
        <x:v>9900</x:v>
      </x:c>
      <x:c r="D216" s="18" t="str">
        <x:v>Sí</x:v>
      </x:c>
      <x:c r="E216" s="18" t="str">
        <x:v>2025-10 / 2026-09</x:v>
      </x:c>
      <x:c r="F216" s="18" t="str">
        <x:v>Global · sin filtro de idioma</x:v>
      </x:c>
      <x:c r="G216" s="18" t="str">
        <x:v>search_volume</x:v>
      </x:c>
      <x:c r="H216" s="18" t="str">
        <x:v>global-candidates.json</x:v>
      </x:c>
      <x:c r="I216" s="18" t="str">
        <x:v>10181909-1949-0367-0000-d6f424f63198</x:v>
      </x:c>
      <x:c r="J216" s="18" t="str">
        <x:v>No</x:v>
      </x:c>
    </x:row>
    <x:row r="217" ht="34" customHeight="1">
      <x:c r="A217" s="18" t="str">
        <x:v>html-accessibility-auditor</x:v>
      </x:c>
      <x:c r="B217" s="18" t="str">
        <x:v>web accessibility checker</x:v>
      </x:c>
      <x:c r="C217" s="19" t="n">
        <x:v>8100</x:v>
      </x:c>
      <x:c r="D217" s="18" t="str">
        <x:v>No</x:v>
      </x:c>
      <x:c r="E217" s="18" t="str">
        <x:v>2025-10 / 2026-09</x:v>
      </x:c>
      <x:c r="F217" s="18" t="str">
        <x:v>Global · sin filtro de idioma</x:v>
      </x:c>
      <x:c r="G217" s="18" t="str">
        <x:v>search_volume</x:v>
      </x:c>
      <x:c r="H217" s="18" t="str">
        <x:v>global-candidates.json</x:v>
      </x:c>
      <x:c r="I217" s="18" t="str">
        <x:v>10181909-1949-0367-0000-d6f424f63198</x:v>
      </x:c>
      <x:c r="J217" s="18" t="str">
        <x:v>No</x:v>
      </x:c>
    </x:row>
    <x:row r="218" ht="34" customHeight="1">
      <x:c r="A218" s="18" t="str">
        <x:v>html-accessibility-auditor</x:v>
      </x:c>
      <x:c r="B218" s="18" t="str">
        <x:v>wcag checker</x:v>
      </x:c>
      <x:c r="C218" s="19" t="n">
        <x:v>2900</x:v>
      </x:c>
      <x:c r="D218" s="18" t="str">
        <x:v>No</x:v>
      </x:c>
      <x:c r="E218" s="18" t="str">
        <x:v>2025-10 / 2026-09</x:v>
      </x:c>
      <x:c r="F218" s="18" t="str">
        <x:v>Global · sin filtro de idioma</x:v>
      </x:c>
      <x:c r="G218" s="18" t="str">
        <x:v>search_volume</x:v>
      </x:c>
      <x:c r="H218" s="18" t="str">
        <x:v>global-candidates.json</x:v>
      </x:c>
      <x:c r="I218" s="18" t="str">
        <x:v>10181909-1949-0367-0000-d6f424f63198</x:v>
      </x:c>
      <x:c r="J218" s="18" t="str">
        <x:v>No</x:v>
      </x:c>
    </x:row>
    <x:row r="219" ht="34" customHeight="1">
      <x:c r="A219" s="18" t="str">
        <x:v>html-sanitizer</x:v>
      </x:c>
      <x:c r="B219" s="18" t="str">
        <x:v>html sanitizer</x:v>
      </x:c>
      <x:c r="C219" s="19" t="n">
        <x:v>1300</x:v>
      </x:c>
      <x:c r="D219" s="18" t="str">
        <x:v>No</x:v>
      </x:c>
      <x:c r="E219" s="18" t="str">
        <x:v>2025-10 / 2026-09</x:v>
      </x:c>
      <x:c r="F219" s="18" t="str">
        <x:v>Global · sin filtro de idioma</x:v>
      </x:c>
      <x:c r="G219" s="18" t="str">
        <x:v>search_volume</x:v>
      </x:c>
      <x:c r="H219" s="18" t="str">
        <x:v>global-candidates.json</x:v>
      </x:c>
      <x:c r="I219" s="18" t="str">
        <x:v>10181909-1949-0367-0000-d6f424f63198</x:v>
      </x:c>
      <x:c r="J219" s="18" t="str">
        <x:v>No</x:v>
      </x:c>
    </x:row>
    <x:row r="220" ht="34" customHeight="1">
      <x:c r="A220" s="18" t="str">
        <x:v>html-sanitizer</x:v>
      </x:c>
      <x:c r="B220" s="18" t="str">
        <x:v>sanitize html</x:v>
      </x:c>
      <x:c r="C220" s="19" t="n">
        <x:v>1300</x:v>
      </x:c>
      <x:c r="D220" s="18" t="str">
        <x:v>No</x:v>
      </x:c>
      <x:c r="E220" s="18" t="str">
        <x:v>2025-10 / 2026-09</x:v>
      </x:c>
      <x:c r="F220" s="18" t="str">
        <x:v>Global · sin filtro de idioma</x:v>
      </x:c>
      <x:c r="G220" s="18" t="str">
        <x:v>search_volume</x:v>
      </x:c>
      <x:c r="H220" s="18" t="str">
        <x:v>global-candidates.json</x:v>
      </x:c>
      <x:c r="I220" s="18" t="str">
        <x:v>10181909-1949-0367-0000-d6f424f63198</x:v>
      </x:c>
      <x:c r="J220" s="18" t="str">
        <x:v>No</x:v>
      </x:c>
    </x:row>
    <x:row r="221" ht="34" customHeight="1">
      <x:c r="A221" s="18" t="str">
        <x:v>html-sanitizer</x:v>
      </x:c>
      <x:c r="B221" s="18" t="str">
        <x:v>clean html</x:v>
      </x:c>
      <x:c r="C221" s="19" t="n">
        <x:v>14800</x:v>
      </x:c>
      <x:c r="D221" s="18" t="str">
        <x:v>Sí</x:v>
      </x:c>
      <x:c r="E221" s="18" t="str">
        <x:v>2025-10 / 2026-09</x:v>
      </x:c>
      <x:c r="F221" s="18" t="str">
        <x:v>Global · sin filtro de idioma</x:v>
      </x:c>
      <x:c r="G221" s="18" t="str">
        <x:v>search_volume</x:v>
      </x:c>
      <x:c r="H221" s="18" t="str">
        <x:v>global-candidates.json</x:v>
      </x:c>
      <x:c r="I221" s="18" t="str">
        <x:v>10181909-1949-0367-0000-d6f424f63198</x:v>
      </x:c>
      <x:c r="J221" s="18" t="str">
        <x:v>No</x:v>
      </x:c>
    </x:row>
    <x:row r="222" ht="34" customHeight="1">
      <x:c r="A222" s="18" t="str">
        <x:v>database-schema-designer</x:v>
      </x:c>
      <x:c r="B222" s="18" t="str">
        <x:v>database diagram</x:v>
      </x:c>
      <x:c r="C222" s="19" t="n">
        <x:v>18100</x:v>
      </x:c>
      <x:c r="D222" s="18" t="str">
        <x:v>Sí</x:v>
      </x:c>
      <x:c r="E222" s="18" t="str">
        <x:v>2025-10 / 2026-09</x:v>
      </x:c>
      <x:c r="F222" s="18" t="str">
        <x:v>Global · sin filtro de idioma</x:v>
      </x:c>
      <x:c r="G222" s="18" t="str">
        <x:v>search_volume</x:v>
      </x:c>
      <x:c r="H222" s="18" t="str">
        <x:v>global-candidates.json</x:v>
      </x:c>
      <x:c r="I222" s="18" t="str">
        <x:v>10181909-1949-0367-0000-d6f424f63198</x:v>
      </x:c>
      <x:c r="J222" s="18" t="str">
        <x:v>No</x:v>
      </x:c>
    </x:row>
    <x:row r="223" ht="34" customHeight="1">
      <x:c r="A223" s="18" t="str">
        <x:v>database-schema-designer</x:v>
      </x:c>
      <x:c r="B223" s="18" t="str">
        <x:v>erd tool</x:v>
      </x:c>
      <x:c r="C223" s="19" t="n">
        <x:v>8100</x:v>
      </x:c>
      <x:c r="D223" s="18" t="str">
        <x:v>No</x:v>
      </x:c>
      <x:c r="E223" s="18" t="str">
        <x:v>2025-10 / 2026-09</x:v>
      </x:c>
      <x:c r="F223" s="18" t="str">
        <x:v>Global · sin filtro de idioma</x:v>
      </x:c>
      <x:c r="G223" s="18" t="str">
        <x:v>search_volume</x:v>
      </x:c>
      <x:c r="H223" s="18" t="str">
        <x:v>global-candidates.json</x:v>
      </x:c>
      <x:c r="I223" s="18" t="str">
        <x:v>10181909-1949-0367-0000-d6f424f63198</x:v>
      </x:c>
      <x:c r="J223" s="18" t="str">
        <x:v>No</x:v>
      </x:c>
    </x:row>
    <x:row r="224" ht="34" customHeight="1">
      <x:c r="A224" s="18" t="str">
        <x:v>database-schema-designer</x:v>
      </x:c>
      <x:c r="B224" s="18" t="str">
        <x:v>database design tool</x:v>
      </x:c>
      <x:c r="C224" s="19" t="n">
        <x:v>1000</x:v>
      </x:c>
      <x:c r="D224" s="18" t="str">
        <x:v>No</x:v>
      </x:c>
      <x:c r="E224" s="18" t="str">
        <x:v>2025-10 / 2026-09</x:v>
      </x:c>
      <x:c r="F224" s="18" t="str">
        <x:v>Global · sin filtro de idioma</x:v>
      </x:c>
      <x:c r="G224" s="18" t="str">
        <x:v>search_volume</x:v>
      </x:c>
      <x:c r="H224" s="18" t="str">
        <x:v>global-candidates.json</x:v>
      </x:c>
      <x:c r="I224" s="18" t="str">
        <x:v>10181909-1949-0367-0000-d6f424f63198</x:v>
      </x:c>
      <x:c r="J224" s="18" t="str">
        <x:v>No</x:v>
      </x:c>
    </x:row>
    <x:row r="225" ht="34" customHeight="1">
      <x:c r="A225" s="18" t="str">
        <x:v>database-migration-converter</x:v>
      </x:c>
      <x:c r="B225" s="18" t="str">
        <x:v>sql converter</x:v>
      </x:c>
      <x:c r="C225" s="19" t="n">
        <x:v>5400</x:v>
      </x:c>
      <x:c r="D225" s="18" t="str">
        <x:v>Sí</x:v>
      </x:c>
      <x:c r="E225" s="18" t="str">
        <x:v>2025-10 / 2026-09</x:v>
      </x:c>
      <x:c r="F225" s="18" t="str">
        <x:v>Global · sin filtro de idioma</x:v>
      </x:c>
      <x:c r="G225" s="18" t="str">
        <x:v>search_volume</x:v>
      </x:c>
      <x:c r="H225" s="18" t="str">
        <x:v>global-candidates.json</x:v>
      </x:c>
      <x:c r="I225" s="18" t="str">
        <x:v>10181909-1949-0367-0000-d6f424f63198</x:v>
      </x:c>
      <x:c r="J225" s="18" t="str">
        <x:v>No</x:v>
      </x:c>
    </x:row>
    <x:row r="226" ht="34" customHeight="1">
      <x:c r="A226" s="18" t="str">
        <x:v>database-migration-converter</x:v>
      </x:c>
      <x:c r="B226" s="18" t="str">
        <x:v>mysql to postgresql</x:v>
      </x:c>
      <x:c r="C226" s="19" t="n">
        <x:v>590</x:v>
      </x:c>
      <x:c r="D226" s="18" t="str">
        <x:v>No</x:v>
      </x:c>
      <x:c r="E226" s="18" t="str">
        <x:v>2025-10 / 2026-09</x:v>
      </x:c>
      <x:c r="F226" s="18" t="str">
        <x:v>Global · sin filtro de idioma</x:v>
      </x:c>
      <x:c r="G226" s="18" t="str">
        <x:v>search_volume</x:v>
      </x:c>
      <x:c r="H226" s="18" t="str">
        <x:v>global-candidates.json</x:v>
      </x:c>
      <x:c r="I226" s="18" t="str">
        <x:v>10181909-1949-0367-0000-d6f424f63198</x:v>
      </x:c>
      <x:c r="J226" s="18" t="str">
        <x:v>No</x:v>
      </x:c>
    </x:row>
    <x:row r="227" ht="34" customHeight="1">
      <x:c r="A227" s="18" t="str">
        <x:v>database-migration-converter</x:v>
      </x:c>
      <x:c r="B227" s="18" t="str">
        <x:v>database migration tool</x:v>
      </x:c>
      <x:c r="C227" s="19" t="n">
        <x:v>3600</x:v>
      </x:c>
      <x:c r="D227" s="18" t="str">
        <x:v>No</x:v>
      </x:c>
      <x:c r="E227" s="18" t="str">
        <x:v>2025-10 / 2026-09</x:v>
      </x:c>
      <x:c r="F227" s="18" t="str">
        <x:v>Global · sin filtro de idioma</x:v>
      </x:c>
      <x:c r="G227" s="18" t="str">
        <x:v>search_volume</x:v>
      </x:c>
      <x:c r="H227" s="18" t="str">
        <x:v>global-candidates.json</x:v>
      </x:c>
      <x:c r="I227" s="18" t="str">
        <x:v>10181909-1949-0367-0000-d6f424f63198</x:v>
      </x:c>
      <x:c r="J227" s="18" t="str">
        <x:v>No</x:v>
      </x:c>
    </x:row>
    <x:row r="228" ht="34" customHeight="1">
      <x:c r="A228" s="18" t="str">
        <x:v>dataset-anonymizer</x:v>
      </x:c>
      <x:c r="B228" s="18" t="str">
        <x:v>data anonymization tool</x:v>
      </x:c>
      <x:c r="C228" s="19" t="n">
        <x:v>390</x:v>
      </x:c>
      <x:c r="D228" s="18" t="str">
        <x:v>No</x:v>
      </x:c>
      <x:c r="E228" s="18" t="str">
        <x:v>2025-10 / 2026-09</x:v>
      </x:c>
      <x:c r="F228" s="18" t="str">
        <x:v>Global · sin filtro de idioma</x:v>
      </x:c>
      <x:c r="G228" s="18" t="str">
        <x:v>search_volume</x:v>
      </x:c>
      <x:c r="H228" s="18" t="str">
        <x:v>global-candidates.json</x:v>
      </x:c>
      <x:c r="I228" s="18" t="str">
        <x:v>10181909-1949-0367-0000-d6f424f63198</x:v>
      </x:c>
      <x:c r="J228" s="18" t="str">
        <x:v>No</x:v>
      </x:c>
    </x:row>
    <x:row r="229" ht="34" customHeight="1">
      <x:c r="A229" s="18" t="str">
        <x:v>dataset-anonymizer</x:v>
      </x:c>
      <x:c r="B229" s="18" t="str">
        <x:v>csv anonymizer</x:v>
      </x:c>
      <x:c r="C229" s="19" t="str">
        <x:v>n.a.</x:v>
      </x:c>
      <x:c r="D229" s="18" t="str">
        <x:v>No</x:v>
      </x:c>
      <x:c r="E229" s="18" t="str">
        <x:v>n.a.</x:v>
      </x:c>
      <x:c r="F229" s="18" t="str">
        <x:v>Global · sin filtro de idioma</x:v>
      </x:c>
      <x:c r="G229" s="18" t="str">
        <x:v>search_volume</x:v>
      </x:c>
      <x:c r="H229" s="18" t="str">
        <x:v>global-candidates.json</x:v>
      </x:c>
      <x:c r="I229" s="18" t="str">
        <x:v>10181909-1949-0367-0000-d6f424f63198</x:v>
      </x:c>
      <x:c r="J229" s="18" t="str">
        <x:v>No</x:v>
      </x:c>
    </x:row>
    <x:row r="230" ht="34" customHeight="1">
      <x:c r="A230" s="18" t="str">
        <x:v>dataset-anonymizer</x:v>
      </x:c>
      <x:c r="B230" s="18" t="str">
        <x:v>anonymize data</x:v>
      </x:c>
      <x:c r="C230" s="19" t="n">
        <x:v>3600</x:v>
      </x:c>
      <x:c r="D230" s="18" t="str">
        <x:v>Sí</x:v>
      </x:c>
      <x:c r="E230" s="18" t="str">
        <x:v>2025-10 / 2026-09</x:v>
      </x:c>
      <x:c r="F230" s="18" t="str">
        <x:v>Global · sin filtro de idioma</x:v>
      </x:c>
      <x:c r="G230" s="18" t="str">
        <x:v>search_volume</x:v>
      </x:c>
      <x:c r="H230" s="18" t="str">
        <x:v>global-candidates.json</x:v>
      </x:c>
      <x:c r="I230" s="18" t="str">
        <x:v>10181909-1949-0367-0000-d6f424f63198</x:v>
      </x:c>
      <x:c r="J230" s="18" t="str">
        <x:v>No</x:v>
      </x:c>
    </x:row>
    <x:row r="231" ht="34" customHeight="1">
      <x:c r="A231" s="18" t="str">
        <x:v>file-type-detector</x:v>
      </x:c>
      <x:c r="B231" s="18" t="str">
        <x:v>file type checker</x:v>
      </x:c>
      <x:c r="C231" s="19" t="n">
        <x:v>1300</x:v>
      </x:c>
      <x:c r="D231" s="18" t="str">
        <x:v>Sí</x:v>
      </x:c>
      <x:c r="E231" s="18" t="str">
        <x:v>2025-10 / 2026-09</x:v>
      </x:c>
      <x:c r="F231" s="18" t="str">
        <x:v>Global · sin filtro de idioma</x:v>
      </x:c>
      <x:c r="G231" s="18" t="str">
        <x:v>search_volume</x:v>
      </x:c>
      <x:c r="H231" s="18" t="str">
        <x:v>global-candidates.json</x:v>
      </x:c>
      <x:c r="I231" s="18" t="str">
        <x:v>10181909-1949-0367-0000-d6f424f63198</x:v>
      </x:c>
      <x:c r="J231" s="18" t="str">
        <x:v>No</x:v>
      </x:c>
    </x:row>
    <x:row r="232" ht="34" customHeight="1">
      <x:c r="A232" s="18" t="str">
        <x:v>file-type-detector</x:v>
      </x:c>
      <x:c r="B232" s="18" t="str">
        <x:v>identify file type</x:v>
      </x:c>
      <x:c r="C232" s="19" t="n">
        <x:v>880</x:v>
      </x:c>
      <x:c r="D232" s="18" t="str">
        <x:v>No</x:v>
      </x:c>
      <x:c r="E232" s="18" t="str">
        <x:v>2025-10 / 2026-09</x:v>
      </x:c>
      <x:c r="F232" s="18" t="str">
        <x:v>Global · sin filtro de idioma</x:v>
      </x:c>
      <x:c r="G232" s="18" t="str">
        <x:v>search_volume</x:v>
      </x:c>
      <x:c r="H232" s="18" t="str">
        <x:v>global-candidates.json</x:v>
      </x:c>
      <x:c r="I232" s="18" t="str">
        <x:v>10181909-1949-0367-0000-d6f424f63198</x:v>
      </x:c>
      <x:c r="J232" s="18" t="str">
        <x:v>No</x:v>
      </x:c>
    </x:row>
    <x:row r="233" ht="34" customHeight="1">
      <x:c r="A233" s="18" t="str">
        <x:v>file-type-detector</x:v>
      </x:c>
      <x:c r="B233" s="18" t="str">
        <x:v>what file is this</x:v>
      </x:c>
      <x:c r="C233" s="19" t="n">
        <x:v>880</x:v>
      </x:c>
      <x:c r="D233" s="18" t="str">
        <x:v>No</x:v>
      </x:c>
      <x:c r="E233" s="18" t="str">
        <x:v>2025-10 / 2026-09</x:v>
      </x:c>
      <x:c r="F233" s="18" t="str">
        <x:v>Global · sin filtro de idioma</x:v>
      </x:c>
      <x:c r="G233" s="18" t="str">
        <x:v>search_volume</x:v>
      </x:c>
      <x:c r="H233" s="18" t="str">
        <x:v>global-candidates.json</x:v>
      </x:c>
      <x:c r="I233" s="18" t="str">
        <x:v>10181909-1949-0367-0000-d6f424f63198</x:v>
      </x:c>
      <x:c r="J233" s="18" t="str">
        <x:v>No</x:v>
      </x:c>
    </x:row>
    <x:row r="234" ht="34" customHeight="1">
      <x:c r="A234" s="18" t="str">
        <x:v>binary-disassembler</x:v>
      </x:c>
      <x:c r="B234" s="18" t="str">
        <x:v>disassembler online</x:v>
      </x:c>
      <x:c r="C234" s="19" t="n">
        <x:v>1300</x:v>
      </x:c>
      <x:c r="D234" s="18" t="str">
        <x:v>Sí</x:v>
      </x:c>
      <x:c r="E234" s="18" t="str">
        <x:v>2025-10 / 2026-09</x:v>
      </x:c>
      <x:c r="F234" s="18" t="str">
        <x:v>Global · sin filtro de idioma</x:v>
      </x:c>
      <x:c r="G234" s="18" t="str">
        <x:v>search_volume</x:v>
      </x:c>
      <x:c r="H234" s="18" t="str">
        <x:v>global-candidates.json</x:v>
      </x:c>
      <x:c r="I234" s="18" t="str">
        <x:v>10181909-1949-0367-0000-d6f424f63198</x:v>
      </x:c>
      <x:c r="J234" s="18" t="str">
        <x:v>No</x:v>
      </x:c>
    </x:row>
    <x:row r="235" ht="34" customHeight="1">
      <x:c r="A235" s="18" t="str">
        <x:v>binary-disassembler</x:v>
      </x:c>
      <x:c r="B235" s="18" t="str">
        <x:v>online disassembler</x:v>
      </x:c>
      <x:c r="C235" s="19" t="n">
        <x:v>1300</x:v>
      </x:c>
      <x:c r="D235" s="18" t="str">
        <x:v>No</x:v>
      </x:c>
      <x:c r="E235" s="18" t="str">
        <x:v>2025-10 / 2026-09</x:v>
      </x:c>
      <x:c r="F235" s="18" t="str">
        <x:v>Global · sin filtro de idioma</x:v>
      </x:c>
      <x:c r="G235" s="18" t="str">
        <x:v>search_volume</x:v>
      </x:c>
      <x:c r="H235" s="18" t="str">
        <x:v>global-candidates.json</x:v>
      </x:c>
      <x:c r="I235" s="18" t="str">
        <x:v>10181909-1949-0367-0000-d6f424f63198</x:v>
      </x:c>
      <x:c r="J235" s="18" t="str">
        <x:v>No</x:v>
      </x:c>
    </x:row>
    <x:row r="236" ht="34" customHeight="1">
      <x:c r="A236" s="18" t="str">
        <x:v>binary-disassembler</x:v>
      </x:c>
      <x:c r="B236" s="18" t="str">
        <x:v>disassemble binary</x:v>
      </x:c>
      <x:c r="C236" s="19" t="n">
        <x:v>20</x:v>
      </x:c>
      <x:c r="D236" s="18" t="str">
        <x:v>No</x:v>
      </x:c>
      <x:c r="E236" s="18" t="str">
        <x:v>2025-10 / 2026-09</x:v>
      </x:c>
      <x:c r="F236" s="18" t="str">
        <x:v>Global · sin filtro de idioma</x:v>
      </x:c>
      <x:c r="G236" s="18" t="str">
        <x:v>search_volume</x:v>
      </x:c>
      <x:c r="H236" s="18" t="str">
        <x:v>global-candidates.json</x:v>
      </x:c>
      <x:c r="I236" s="18" t="str">
        <x:v>10181909-1949-0367-0000-d6f424f63198</x:v>
      </x:c>
      <x:c r="J236" s="18" t="str">
        <x:v>No</x:v>
      </x:c>
    </x:row>
    <x:row r="237" ht="34" customHeight="1">
      <x:c r="A237" s="18" t="str">
        <x:v>css-specificity-calculator</x:v>
      </x:c>
      <x:c r="B237" s="18" t="str">
        <x:v>css specificity calculator</x:v>
      </x:c>
      <x:c r="C237" s="19" t="n">
        <x:v>720</x:v>
      </x:c>
      <x:c r="D237" s="18" t="str">
        <x:v>No</x:v>
      </x:c>
      <x:c r="E237" s="18" t="str">
        <x:v>2025-10 / 2026-09</x:v>
      </x:c>
      <x:c r="F237" s="18" t="str">
        <x:v>Global · sin filtro de idioma</x:v>
      </x:c>
      <x:c r="G237" s="18" t="str">
        <x:v>search_volume</x:v>
      </x:c>
      <x:c r="H237" s="18" t="str">
        <x:v>global-candidates.json</x:v>
      </x:c>
      <x:c r="I237" s="18" t="str">
        <x:v>10181909-1949-0367-0000-d6f424f63198</x:v>
      </x:c>
      <x:c r="J237" s="18" t="str">
        <x:v>No</x:v>
      </x:c>
    </x:row>
    <x:row r="238" ht="34" customHeight="1">
      <x:c r="A238" s="18" t="str">
        <x:v>css-specificity-calculator</x:v>
      </x:c>
      <x:c r="B238" s="18" t="str">
        <x:v>css specificity</x:v>
      </x:c>
      <x:c r="C238" s="19" t="n">
        <x:v>2900</x:v>
      </x:c>
      <x:c r="D238" s="18" t="str">
        <x:v>Sí</x:v>
      </x:c>
      <x:c r="E238" s="18" t="str">
        <x:v>2025-10 / 2026-09</x:v>
      </x:c>
      <x:c r="F238" s="18" t="str">
        <x:v>Global · sin filtro de idioma</x:v>
      </x:c>
      <x:c r="G238" s="18" t="str">
        <x:v>search_volume</x:v>
      </x:c>
      <x:c r="H238" s="18" t="str">
        <x:v>global-candidates.json</x:v>
      </x:c>
      <x:c r="I238" s="18" t="str">
        <x:v>10181909-1949-0367-0000-d6f424f63198</x:v>
      </x:c>
      <x:c r="J238" s="18" t="str">
        <x:v>No</x:v>
      </x:c>
    </x:row>
    <x:row r="239" ht="34" customHeight="1">
      <x:c r="A239" s="18" t="str">
        <x:v>css-specificity-calculator</x:v>
      </x:c>
      <x:c r="B239" s="18" t="str">
        <x:v>selector specificity</x:v>
      </x:c>
      <x:c r="C239" s="19" t="n">
        <x:v>110</x:v>
      </x:c>
      <x:c r="D239" s="18" t="str">
        <x:v>No</x:v>
      </x:c>
      <x:c r="E239" s="18" t="str">
        <x:v>2025-10 / 2026-09</x:v>
      </x:c>
      <x:c r="F239" s="18" t="str">
        <x:v>Global · sin filtro de idioma</x:v>
      </x:c>
      <x:c r="G239" s="18" t="str">
        <x:v>search_volume</x:v>
      </x:c>
      <x:c r="H239" s="18" t="str">
        <x:v>global-candidates.json</x:v>
      </x:c>
      <x:c r="I239" s="18" t="str">
        <x:v>10181909-1949-0367-0000-d6f424f63198</x:v>
      </x:c>
      <x:c r="J239" s="18" t="str">
        <x:v>No</x:v>
      </x:c>
    </x:row>
    <x:row r="240" ht="34" customHeight="1">
      <x:c r="A240" s="18" t="str">
        <x:v>webfont-subsetter</x:v>
      </x:c>
      <x:c r="B240" s="18" t="str">
        <x:v>font subsetter</x:v>
      </x:c>
      <x:c r="C240" s="19" t="n">
        <x:v>320</x:v>
      </x:c>
      <x:c r="D240" s="18" t="str">
        <x:v>No</x:v>
      </x:c>
      <x:c r="E240" s="18" t="str">
        <x:v>2025-10 / 2026-09</x:v>
      </x:c>
      <x:c r="F240" s="18" t="str">
        <x:v>Global · sin filtro de idioma</x:v>
      </x:c>
      <x:c r="G240" s="18" t="str">
        <x:v>search_volume</x:v>
      </x:c>
      <x:c r="H240" s="18" t="str">
        <x:v>global-candidates.json</x:v>
      </x:c>
      <x:c r="I240" s="18" t="str">
        <x:v>10181909-1949-0367-0000-d6f424f63198</x:v>
      </x:c>
      <x:c r="J240" s="18" t="str">
        <x:v>No</x:v>
      </x:c>
    </x:row>
    <x:row r="241" ht="34" customHeight="1">
      <x:c r="A241" s="18" t="str">
        <x:v>webfont-subsetter</x:v>
      </x:c>
      <x:c r="B241" s="18" t="str">
        <x:v>webfont generator</x:v>
      </x:c>
      <x:c r="C241" s="19" t="n">
        <x:v>2400</x:v>
      </x:c>
      <x:c r="D241" s="18" t="str">
        <x:v>Sí</x:v>
      </x:c>
      <x:c r="E241" s="18" t="str">
        <x:v>2025-10 / 2026-09</x:v>
      </x:c>
      <x:c r="F241" s="18" t="str">
        <x:v>Global · sin filtro de idioma</x:v>
      </x:c>
      <x:c r="G241" s="18" t="str">
        <x:v>search_volume</x:v>
      </x:c>
      <x:c r="H241" s="18" t="str">
        <x:v>global-candidates.json</x:v>
      </x:c>
      <x:c r="I241" s="18" t="str">
        <x:v>10181909-1949-0367-0000-d6f424f63198</x:v>
      </x:c>
      <x:c r="J241" s="18" t="str">
        <x:v>No</x:v>
      </x:c>
    </x:row>
    <x:row r="242" ht="34" customHeight="1">
      <x:c r="A242" s="18" t="str">
        <x:v>webfont-subsetter</x:v>
      </x:c>
      <x:c r="B242" s="18" t="str">
        <x:v>subset font</x:v>
      </x:c>
      <x:c r="C242" s="19" t="n">
        <x:v>320</x:v>
      </x:c>
      <x:c r="D242" s="18" t="str">
        <x:v>No</x:v>
      </x:c>
      <x:c r="E242" s="18" t="str">
        <x:v>2025-10 / 2026-09</x:v>
      </x:c>
      <x:c r="F242" s="18" t="str">
        <x:v>Global · sin filtro de idioma</x:v>
      </x:c>
      <x:c r="G242" s="18" t="str">
        <x:v>search_volume</x:v>
      </x:c>
      <x:c r="H242" s="18" t="str">
        <x:v>global-candidates.json</x:v>
      </x:c>
      <x:c r="I242" s="18" t="str">
        <x:v>10181909-1949-0367-0000-d6f424f63198</x:v>
      </x:c>
      <x:c r="J242" s="18" t="str">
        <x:v>No</x:v>
      </x:c>
    </x:row>
    <x:row r="243" ht="34" customHeight="1">
      <x:c r="A243" s="18" t="str">
        <x:v>local-file-search</x:v>
      </x:c>
      <x:c r="B243" s="18" t="str">
        <x:v>search in files</x:v>
      </x:c>
      <x:c r="C243" s="19" t="n">
        <x:v>260</x:v>
      </x:c>
      <x:c r="D243" s="18" t="str">
        <x:v>Sí</x:v>
      </x:c>
      <x:c r="E243" s="18" t="str">
        <x:v>2025-10 / 2026-09</x:v>
      </x:c>
      <x:c r="F243" s="18" t="str">
        <x:v>Global · sin filtro de idioma</x:v>
      </x:c>
      <x:c r="G243" s="18" t="str">
        <x:v>search_volume</x:v>
      </x:c>
      <x:c r="H243" s="18" t="str">
        <x:v>global-candidates.json</x:v>
      </x:c>
      <x:c r="I243" s="18" t="str">
        <x:v>10181909-1949-0367-0000-d6f424f63198</x:v>
      </x:c>
      <x:c r="J243" s="18" t="str">
        <x:v>No</x:v>
      </x:c>
    </x:row>
    <x:row r="244" ht="34" customHeight="1">
      <x:c r="A244" s="18" t="str">
        <x:v>local-file-search</x:v>
      </x:c>
      <x:c r="B244" s="18" t="str">
        <x:v>find text in files</x:v>
      </x:c>
      <x:c r="C244" s="19" t="n">
        <x:v>260</x:v>
      </x:c>
      <x:c r="D244" s="18" t="str">
        <x:v>No</x:v>
      </x:c>
      <x:c r="E244" s="18" t="str">
        <x:v>2025-10 / 2026-09</x:v>
      </x:c>
      <x:c r="F244" s="18" t="str">
        <x:v>Global · sin filtro de idioma</x:v>
      </x:c>
      <x:c r="G244" s="18" t="str">
        <x:v>search_volume</x:v>
      </x:c>
      <x:c r="H244" s="18" t="str">
        <x:v>global-candidates.json</x:v>
      </x:c>
      <x:c r="I244" s="18" t="str">
        <x:v>10181909-1949-0367-0000-d6f424f63198</x:v>
      </x:c>
      <x:c r="J244" s="18" t="str">
        <x:v>No</x:v>
      </x:c>
    </x:row>
    <x:row r="245" ht="34" customHeight="1">
      <x:c r="A245" s="18" t="str">
        <x:v>local-file-search</x:v>
      </x:c>
      <x:c r="B245" s="18" t="str">
        <x:v>buscar texto en archivos</x:v>
      </x:c>
      <x:c r="C245" s="19" t="n">
        <x:v>10</x:v>
      </x:c>
      <x:c r="D245" s="18" t="str">
        <x:v>No</x:v>
      </x:c>
      <x:c r="E245" s="18" t="str">
        <x:v>2025-10 / 2026-09</x:v>
      </x:c>
      <x:c r="F245" s="18" t="str">
        <x:v>Global · sin filtro de idioma</x:v>
      </x:c>
      <x:c r="G245" s="18" t="str">
        <x:v>search_volume</x:v>
      </x:c>
      <x:c r="H245" s="18" t="str">
        <x:v>global-candidates.json</x:v>
      </x:c>
      <x:c r="I245" s="18" t="str">
        <x:v>10181909-1949-0367-0000-d6f424f63198</x:v>
      </x:c>
      <x:c r="J245" s="18" t="str">
        <x:v>No</x:v>
      </x:c>
    </x:row>
    <x:row r="246" ht="34" customHeight="1">
      <x:c r="A246" s="18" t="str">
        <x:v>sql-query-explainer</x:v>
      </x:c>
      <x:c r="B246" s="18" t="str">
        <x:v>sql query analyzer</x:v>
      </x:c>
      <x:c r="C246" s="19" t="n">
        <x:v>590</x:v>
      </x:c>
      <x:c r="D246" s="18" t="str">
        <x:v>No</x:v>
      </x:c>
      <x:c r="E246" s="18" t="str">
        <x:v>2025-10 / 2026-09</x:v>
      </x:c>
      <x:c r="F246" s="18" t="str">
        <x:v>Global · sin filtro de idioma</x:v>
      </x:c>
      <x:c r="G246" s="18" t="str">
        <x:v>search_volume</x:v>
      </x:c>
      <x:c r="H246" s="18" t="str">
        <x:v>global-candidates.json</x:v>
      </x:c>
      <x:c r="I246" s="18" t="str">
        <x:v>10181909-1949-0367-0000-d6f424f63198</x:v>
      </x:c>
      <x:c r="J246" s="18" t="str">
        <x:v>No</x:v>
      </x:c>
    </x:row>
    <x:row r="247" ht="34" customHeight="1">
      <x:c r="A247" s="18" t="str">
        <x:v>sql-query-explainer</x:v>
      </x:c>
      <x:c r="B247" s="18" t="str">
        <x:v>explain sql</x:v>
      </x:c>
      <x:c r="C247" s="19" t="n">
        <x:v>3600</x:v>
      </x:c>
      <x:c r="D247" s="18" t="str">
        <x:v>Sí</x:v>
      </x:c>
      <x:c r="E247" s="18" t="str">
        <x:v>2025-10 / 2026-09</x:v>
      </x:c>
      <x:c r="F247" s="18" t="str">
        <x:v>Global · sin filtro de idioma</x:v>
      </x:c>
      <x:c r="G247" s="18" t="str">
        <x:v>search_volume</x:v>
      </x:c>
      <x:c r="H247" s="18" t="str">
        <x:v>global-candidates.json</x:v>
      </x:c>
      <x:c r="I247" s="18" t="str">
        <x:v>10181909-1949-0367-0000-d6f424f63198</x:v>
      </x:c>
      <x:c r="J247" s="18" t="str">
        <x:v>No</x:v>
      </x:c>
    </x:row>
    <x:row r="248" ht="34" customHeight="1">
      <x:c r="A248" s="18" t="str">
        <x:v>sql-query-explainer</x:v>
      </x:c>
      <x:c r="B248" s="18" t="str">
        <x:v>sql explain</x:v>
      </x:c>
      <x:c r="C248" s="19" t="n">
        <x:v>3600</x:v>
      </x:c>
      <x:c r="D248" s="18" t="str">
        <x:v>No</x:v>
      </x:c>
      <x:c r="E248" s="18" t="str">
        <x:v>2025-10 / 2026-09</x:v>
      </x:c>
      <x:c r="F248" s="18" t="str">
        <x:v>Global · sin filtro de idioma</x:v>
      </x:c>
      <x:c r="G248" s="18" t="str">
        <x:v>search_volume</x:v>
      </x:c>
      <x:c r="H248" s="18" t="str">
        <x:v>global-candidates.json</x:v>
      </x:c>
      <x:c r="I248" s="18" t="str">
        <x:v>10181909-1949-0367-0000-d6f424f63198</x:v>
      </x:c>
      <x:c r="J248" s="18" t="str">
        <x:v>No</x:v>
      </x:c>
    </x:row>
    <x:row r="249" ht="34" customHeight="1">
      <x:c r="A249" s="18" t="str">
        <x:v>api-mock-workbench</x:v>
      </x:c>
      <x:c r="B249" s="18" t="str">
        <x:v>mock api</x:v>
      </x:c>
      <x:c r="C249" s="19" t="n">
        <x:v>12100</x:v>
      </x:c>
      <x:c r="D249" s="18" t="str">
        <x:v>Sí</x:v>
      </x:c>
      <x:c r="E249" s="18" t="str">
        <x:v>2025-10 / 2026-09</x:v>
      </x:c>
      <x:c r="F249" s="18" t="str">
        <x:v>Global · sin filtro de idioma</x:v>
      </x:c>
      <x:c r="G249" s="18" t="str">
        <x:v>search_volume</x:v>
      </x:c>
      <x:c r="H249" s="18" t="str">
        <x:v>global-candidates.json</x:v>
      </x:c>
      <x:c r="I249" s="18" t="str">
        <x:v>10181909-1949-0367-0000-d6f424f63198</x:v>
      </x:c>
      <x:c r="J249" s="18" t="str">
        <x:v>No</x:v>
      </x:c>
    </x:row>
    <x:row r="250" ht="34" customHeight="1">
      <x:c r="A250" s="18" t="str">
        <x:v>api-mock-workbench</x:v>
      </x:c>
      <x:c r="B250" s="18" t="str">
        <x:v>api mock</x:v>
      </x:c>
      <x:c r="C250" s="19" t="n">
        <x:v>12100</x:v>
      </x:c>
      <x:c r="D250" s="18" t="str">
        <x:v>No</x:v>
      </x:c>
      <x:c r="E250" s="18" t="str">
        <x:v>2025-10 / 2026-09</x:v>
      </x:c>
      <x:c r="F250" s="18" t="str">
        <x:v>Global · sin filtro de idioma</x:v>
      </x:c>
      <x:c r="G250" s="18" t="str">
        <x:v>search_volume</x:v>
      </x:c>
      <x:c r="H250" s="18" t="str">
        <x:v>global-candidates.json</x:v>
      </x:c>
      <x:c r="I250" s="18" t="str">
        <x:v>10181909-1949-0367-0000-d6f424f63198</x:v>
      </x:c>
      <x:c r="J250" s="18" t="str">
        <x:v>No</x:v>
      </x:c>
    </x:row>
    <x:row r="251" ht="34" customHeight="1">
      <x:c r="A251" s="18" t="str">
        <x:v>api-mock-workbench</x:v>
      </x:c>
      <x:c r="B251" s="18" t="str">
        <x:v>mock server</x:v>
      </x:c>
      <x:c r="C251" s="19" t="n">
        <x:v>3600</x:v>
      </x:c>
      <x:c r="D251" s="18" t="str">
        <x:v>No</x:v>
      </x:c>
      <x:c r="E251" s="18" t="str">
        <x:v>2025-10 / 2026-09</x:v>
      </x:c>
      <x:c r="F251" s="18" t="str">
        <x:v>Global · sin filtro de idioma</x:v>
      </x:c>
      <x:c r="G251" s="18" t="str">
        <x:v>search_volume</x:v>
      </x:c>
      <x:c r="H251" s="18" t="str">
        <x:v>global-candidates.json</x:v>
      </x:c>
      <x:c r="I251" s="18" t="str">
        <x:v>10181909-1949-0367-0000-d6f424f63198</x:v>
      </x:c>
      <x:c r="J251" s="18" t="str">
        <x:v>No</x:v>
      </x:c>
    </x:row>
    <x:row r="252" ht="34" customHeight="1">
      <x:c r="A252" s="18" t="str">
        <x:v>digital-signature-verifier</x:v>
      </x:c>
      <x:c r="B252" s="18" t="str">
        <x:v>verify digital signature</x:v>
      </x:c>
      <x:c r="C252" s="19" t="n">
        <x:v>4400</x:v>
      </x:c>
      <x:c r="D252" s="18" t="str">
        <x:v>Sí</x:v>
      </x:c>
      <x:c r="E252" s="18" t="str">
        <x:v>2025-10 / 2026-09</x:v>
      </x:c>
      <x:c r="F252" s="18" t="str">
        <x:v>Global · sin filtro de idioma</x:v>
      </x:c>
      <x:c r="G252" s="18" t="str">
        <x:v>search_volume</x:v>
      </x:c>
      <x:c r="H252" s="18" t="str">
        <x:v>global-candidates.json</x:v>
      </x:c>
      <x:c r="I252" s="18" t="str">
        <x:v>10181909-1949-0367-0000-d6f424f63198</x:v>
      </x:c>
      <x:c r="J252" s="18" t="str">
        <x:v>No</x:v>
      </x:c>
    </x:row>
    <x:row r="253" ht="34" customHeight="1">
      <x:c r="A253" s="18" t="str">
        <x:v>digital-signature-verifier</x:v>
      </x:c>
      <x:c r="B253" s="18" t="str">
        <x:v>signature verification online</x:v>
      </x:c>
      <x:c r="C253" s="19" t="n">
        <x:v>1600</x:v>
      </x:c>
      <x:c r="D253" s="18" t="str">
        <x:v>No</x:v>
      </x:c>
      <x:c r="E253" s="18" t="str">
        <x:v>2025-10 / 2026-09</x:v>
      </x:c>
      <x:c r="F253" s="18" t="str">
        <x:v>Global · sin filtro de idioma</x:v>
      </x:c>
      <x:c r="G253" s="18" t="str">
        <x:v>search_volume</x:v>
      </x:c>
      <x:c r="H253" s="18" t="str">
        <x:v>global-candidates.json</x:v>
      </x:c>
      <x:c r="I253" s="18" t="str">
        <x:v>10181909-1949-0367-0000-d6f424f63198</x:v>
      </x:c>
      <x:c r="J253" s="18" t="str">
        <x:v>No</x:v>
      </x:c>
    </x:row>
    <x:row r="254" ht="34" customHeight="1">
      <x:c r="A254" s="18" t="str">
        <x:v>digital-signature-verifier</x:v>
      </x:c>
      <x:c r="B254" s="18" t="str">
        <x:v>verify signature</x:v>
      </x:c>
      <x:c r="C254" s="19" t="n">
        <x:v>3600</x:v>
      </x:c>
      <x:c r="D254" s="18" t="str">
        <x:v>No</x:v>
      </x:c>
      <x:c r="E254" s="18" t="str">
        <x:v>2025-10 / 2026-09</x:v>
      </x:c>
      <x:c r="F254" s="18" t="str">
        <x:v>Global · sin filtro de idioma</x:v>
      </x:c>
      <x:c r="G254" s="18" t="str">
        <x:v>search_volume</x:v>
      </x:c>
      <x:c r="H254" s="18" t="str">
        <x:v>global-candidates.json</x:v>
      </x:c>
      <x:c r="I254" s="18" t="str">
        <x:v>10181909-1949-0367-0000-d6f424f63198</x:v>
      </x:c>
      <x:c r="J254" s="18" t="str">
        <x:v>No</x:v>
      </x:c>
    </x:row>
    <x:row r="255" ht="34" customHeight="1">
      <x:c r="A255" s="18" t="str">
        <x:v>gamepad-tester</x:v>
      </x:c>
      <x:c r="B255" s="18" t="str">
        <x:v>gamepad tester</x:v>
      </x:c>
      <x:c r="C255" s="19" t="n">
        <x:v>450000</x:v>
      </x:c>
      <x:c r="D255" s="18" t="str">
        <x:v>Sí</x:v>
      </x:c>
      <x:c r="E255" s="18" t="str">
        <x:v>2025-10 / 2026-09</x:v>
      </x:c>
      <x:c r="F255" s="18" t="str">
        <x:v>Global · sin filtro de idioma</x:v>
      </x:c>
      <x:c r="G255" s="18" t="str">
        <x:v>search_volume</x:v>
      </x:c>
      <x:c r="H255" s="18" t="str">
        <x:v>global-candidates.json</x:v>
      </x:c>
      <x:c r="I255" s="18" t="str">
        <x:v>10181909-1949-0367-0000-d6f424f63198</x:v>
      </x:c>
      <x:c r="J255" s="18" t="str">
        <x:v>No</x:v>
      </x:c>
    </x:row>
    <x:row r="256" ht="34" customHeight="1">
      <x:c r="A256" s="18" t="str">
        <x:v>gamepad-tester</x:v>
      </x:c>
      <x:c r="B256" s="18" t="str">
        <x:v>controller tester</x:v>
      </x:c>
      <x:c r="C256" s="19" t="n">
        <x:v>301000</x:v>
      </x:c>
      <x:c r="D256" s="18" t="str">
        <x:v>No</x:v>
      </x:c>
      <x:c r="E256" s="18" t="str">
        <x:v>2025-10 / 2026-09</x:v>
      </x:c>
      <x:c r="F256" s="18" t="str">
        <x:v>Global · sin filtro de idioma</x:v>
      </x:c>
      <x:c r="G256" s="18" t="str">
        <x:v>search_volume</x:v>
      </x:c>
      <x:c r="H256" s="18" t="str">
        <x:v>global-candidates.json</x:v>
      </x:c>
      <x:c r="I256" s="18" t="str">
        <x:v>10181909-1949-0367-0000-d6f424f63198</x:v>
      </x:c>
      <x:c r="J256" s="18" t="str">
        <x:v>No</x:v>
      </x:c>
    </x:row>
    <x:row r="257" ht="34" customHeight="1">
      <x:c r="A257" s="18" t="str">
        <x:v>gamepad-tester</x:v>
      </x:c>
      <x:c r="B257" s="18" t="str">
        <x:v>test gamepad</x:v>
      </x:c>
      <x:c r="C257" s="19" t="n">
        <x:v>450000</x:v>
      </x:c>
      <x:c r="D257" s="18" t="str">
        <x:v>No</x:v>
      </x:c>
      <x:c r="E257" s="18" t="str">
        <x:v>2025-10 / 2026-09</x:v>
      </x:c>
      <x:c r="F257" s="18" t="str">
        <x:v>Global · sin filtro de idioma</x:v>
      </x:c>
      <x:c r="G257" s="18" t="str">
        <x:v>search_volume</x:v>
      </x:c>
      <x:c r="H257" s="18" t="str">
        <x:v>global-candidates.json</x:v>
      </x:c>
      <x:c r="I257" s="18" t="str">
        <x:v>10181909-1949-0367-0000-d6f424f63198</x:v>
      </x:c>
      <x:c r="J257" s="18" t="str">
        <x:v>No</x:v>
      </x:c>
    </x:row>
    <x:row r="258" ht="34" customHeight="1">
      <x:c r="A258" s="18" t="str">
        <x:v>touchscreen-tester</x:v>
      </x:c>
      <x:c r="B258" s="18" t="str">
        <x:v>touch screen test</x:v>
      </x:c>
      <x:c r="C258" s="19" t="n">
        <x:v>49500</x:v>
      </x:c>
      <x:c r="D258" s="18" t="str">
        <x:v>Sí</x:v>
      </x:c>
      <x:c r="E258" s="18" t="str">
        <x:v>2025-10 / 2026-09</x:v>
      </x:c>
      <x:c r="F258" s="18" t="str">
        <x:v>Global · sin filtro de idioma</x:v>
      </x:c>
      <x:c r="G258" s="18" t="str">
        <x:v>search_volume</x:v>
      </x:c>
      <x:c r="H258" s="18" t="str">
        <x:v>global-candidates.json</x:v>
      </x:c>
      <x:c r="I258" s="18" t="str">
        <x:v>10181909-1949-0367-0000-d6f424f63198</x:v>
      </x:c>
      <x:c r="J258" s="18" t="str">
        <x:v>No</x:v>
      </x:c>
    </x:row>
    <x:row r="259" ht="34" customHeight="1">
      <x:c r="A259" s="18" t="str">
        <x:v>touchscreen-tester</x:v>
      </x:c>
      <x:c r="B259" s="18" t="str">
        <x:v>multitouch test</x:v>
      </x:c>
      <x:c r="C259" s="19" t="n">
        <x:v>5400</x:v>
      </x:c>
      <x:c r="D259" s="18" t="str">
        <x:v>No</x:v>
      </x:c>
      <x:c r="E259" s="18" t="str">
        <x:v>2025-10 / 2026-09</x:v>
      </x:c>
      <x:c r="F259" s="18" t="str">
        <x:v>Global · sin filtro de idioma</x:v>
      </x:c>
      <x:c r="G259" s="18" t="str">
        <x:v>search_volume</x:v>
      </x:c>
      <x:c r="H259" s="18" t="str">
        <x:v>global-candidates.json</x:v>
      </x:c>
      <x:c r="I259" s="18" t="str">
        <x:v>10181909-1949-0367-0000-d6f424f63198</x:v>
      </x:c>
      <x:c r="J259" s="18" t="str">
        <x:v>No</x:v>
      </x:c>
    </x:row>
    <x:row r="260" ht="34" customHeight="1">
      <x:c r="A260" s="18" t="str">
        <x:v>touchscreen-tester</x:v>
      </x:c>
      <x:c r="B260" s="18" t="str">
        <x:v>touchscreen test</x:v>
      </x:c>
      <x:c r="C260" s="19" t="n">
        <x:v>49500</x:v>
      </x:c>
      <x:c r="D260" s="18" t="str">
        <x:v>No</x:v>
      </x:c>
      <x:c r="E260" s="18" t="str">
        <x:v>2025-10 / 2026-09</x:v>
      </x:c>
      <x:c r="F260" s="18" t="str">
        <x:v>Global · sin filtro de idioma</x:v>
      </x:c>
      <x:c r="G260" s="18" t="str">
        <x:v>search_volume</x:v>
      </x:c>
      <x:c r="H260" s="18" t="str">
        <x:v>global-candidates.json</x:v>
      </x:c>
      <x:c r="I260" s="18" t="str">
        <x:v>10181909-1949-0367-0000-d6f424f63198</x:v>
      </x:c>
      <x:c r="J260" s="18" t="str">
        <x:v>No</x:v>
      </x:c>
    </x:row>
    <x:row r="261" ht="34" customHeight="1">
      <x:c r="A261" s="18" t="str">
        <x:v>screen-mirroring</x:v>
      </x:c>
      <x:c r="B261" s="18" t="str">
        <x:v>screen mirroring</x:v>
      </x:c>
      <x:c r="C261" s="19" t="n">
        <x:v>246000</x:v>
      </x:c>
      <x:c r="D261" s="18" t="str">
        <x:v>Sí</x:v>
      </x:c>
      <x:c r="E261" s="18" t="str">
        <x:v>2025-10 / 2026-09</x:v>
      </x:c>
      <x:c r="F261" s="18" t="str">
        <x:v>Global · sin filtro de idioma</x:v>
      </x:c>
      <x:c r="G261" s="18" t="str">
        <x:v>search_volume</x:v>
      </x:c>
      <x:c r="H261" s="18" t="str">
        <x:v>global-candidates.json</x:v>
      </x:c>
      <x:c r="I261" s="18" t="str">
        <x:v>10181909-1949-0367-0000-d6f424f63198</x:v>
      </x:c>
      <x:c r="J261" s="18" t="str">
        <x:v>No</x:v>
      </x:c>
    </x:row>
    <x:row r="262" ht="34" customHeight="1">
      <x:c r="A262" s="18" t="str">
        <x:v>screen-mirroring</x:v>
      </x:c>
      <x:c r="B262" s="18" t="str">
        <x:v>mirror screen</x:v>
      </x:c>
      <x:c r="C262" s="19" t="n">
        <x:v>246000</x:v>
      </x:c>
      <x:c r="D262" s="18" t="str">
        <x:v>No</x:v>
      </x:c>
      <x:c r="E262" s="18" t="str">
        <x:v>2025-10 / 2026-09</x:v>
      </x:c>
      <x:c r="F262" s="18" t="str">
        <x:v>Global · sin filtro de idioma</x:v>
      </x:c>
      <x:c r="G262" s="18" t="str">
        <x:v>search_volume</x:v>
      </x:c>
      <x:c r="H262" s="18" t="str">
        <x:v>global-candidates.json</x:v>
      </x:c>
      <x:c r="I262" s="18" t="str">
        <x:v>10181909-1949-0367-0000-d6f424f63198</x:v>
      </x:c>
      <x:c r="J262" s="18" t="str">
        <x:v>No</x:v>
      </x:c>
    </x:row>
    <x:row r="263" ht="34" customHeight="1">
      <x:c r="A263" s="18" t="str">
        <x:v>screen-mirroring</x:v>
      </x:c>
      <x:c r="B263" s="18" t="str">
        <x:v>compartir pantalla</x:v>
      </x:c>
      <x:c r="C263" s="19" t="n">
        <x:v>22200</x:v>
      </x:c>
      <x:c r="D263" s="18" t="str">
        <x:v>No</x:v>
      </x:c>
      <x:c r="E263" s="18" t="str">
        <x:v>2025-10 / 2026-09</x:v>
      </x:c>
      <x:c r="F263" s="18" t="str">
        <x:v>Global · sin filtro de idioma</x:v>
      </x:c>
      <x:c r="G263" s="18" t="str">
        <x:v>search_volume</x:v>
      </x:c>
      <x:c r="H263" s="18" t="str">
        <x:v>global-candidates.json</x:v>
      </x:c>
      <x:c r="I263" s="18" t="str">
        <x:v>10181909-1949-0367-0000-d6f424f63198</x:v>
      </x:c>
      <x:c r="J263" s="18" t="str">
        <x:v>No</x:v>
      </x:c>
    </x:row>
    <x:row r="264" ht="34" customHeight="1">
      <x:c r="A264" s="18" t="str">
        <x:v>rubiks-cube-solver</x:v>
      </x:c>
      <x:c r="B264" s="18" t="str">
        <x:v>rubiks cube solver</x:v>
      </x:c>
      <x:c r="C264" s="19" t="n">
        <x:v>550000</x:v>
      </x:c>
      <x:c r="D264" s="18" t="str">
        <x:v>Sí</x:v>
      </x:c>
      <x:c r="E264" s="18" t="str">
        <x:v>2025-10 / 2026-09</x:v>
      </x:c>
      <x:c r="F264" s="18" t="str">
        <x:v>Global · sin filtro de idioma</x:v>
      </x:c>
      <x:c r="G264" s="18" t="str">
        <x:v>search_volume</x:v>
      </x:c>
      <x:c r="H264" s="18" t="str">
        <x:v>global-initial-screen.json</x:v>
      </x:c>
      <x:c r="I264" s="18" t="str">
        <x:v>10181645-1949-0367-0000-721aab5cac1a</x:v>
      </x:c>
      <x:c r="J264" s="18" t="str">
        <x:v>No</x:v>
      </x:c>
    </x:row>
    <x:row r="265" ht="34" customHeight="1">
      <x:c r="A265" s="18" t="str">
        <x:v>rubiks-cube-solver</x:v>
      </x:c>
      <x:c r="B265" s="18" t="str">
        <x:v>cube solver</x:v>
      </x:c>
      <x:c r="C265" s="19" t="n">
        <x:v>201000</x:v>
      </x:c>
      <x:c r="D265" s="18" t="str">
        <x:v>No</x:v>
      </x:c>
      <x:c r="E265" s="18" t="str">
        <x:v>2025-10 / 2026-09</x:v>
      </x:c>
      <x:c r="F265" s="18" t="str">
        <x:v>Global · sin filtro de idioma</x:v>
      </x:c>
      <x:c r="G265" s="18" t="str">
        <x:v>search_volume</x:v>
      </x:c>
      <x:c r="H265" s="18" t="str">
        <x:v>global-candidates.json</x:v>
      </x:c>
      <x:c r="I265" s="18" t="str">
        <x:v>10181909-1949-0367-0000-d6f424f63198</x:v>
      </x:c>
      <x:c r="J265" s="18" t="str">
        <x:v>No</x:v>
      </x:c>
    </x:row>
    <x:row r="266" ht="34" customHeight="1">
      <x:c r="A266" s="18" t="str">
        <x:v>rubiks-cube-solver</x:v>
      </x:c>
      <x:c r="B266" s="18" t="str">
        <x:v>resolver cubo rubik</x:v>
      </x:c>
      <x:c r="C266" s="19" t="n">
        <x:v>14800</x:v>
      </x:c>
      <x:c r="D266" s="18" t="str">
        <x:v>No</x:v>
      </x:c>
      <x:c r="E266" s="18" t="str">
        <x:v>2025-10 / 2026-09</x:v>
      </x:c>
      <x:c r="F266" s="18" t="str">
        <x:v>Global · sin filtro de idioma</x:v>
      </x:c>
      <x:c r="G266" s="18" t="str">
        <x:v>search_volume</x:v>
      </x:c>
      <x:c r="H266" s="18" t="str">
        <x:v>global-candidates.json</x:v>
      </x:c>
      <x:c r="I266" s="18" t="str">
        <x:v>10181909-1949-0367-0000-d6f424f63198</x:v>
      </x:c>
      <x:c r="J266" s="18" t="str">
        <x:v>No</x:v>
      </x:c>
    </x:row>
    <x:row r="267" ht="34" customHeight="1">
      <x:c r="A267" s="18" t="str">
        <x:v>indian-rummy</x:v>
      </x:c>
      <x:c r="B267" s="18" t="str">
        <x:v>rummy</x:v>
      </x:c>
      <x:c r="C267" s="19" t="n">
        <x:v>673000</x:v>
      </x:c>
      <x:c r="D267" s="18" t="str">
        <x:v>Sí</x:v>
      </x:c>
      <x:c r="E267" s="18" t="str">
        <x:v>2025-10 / 2026-09</x:v>
      </x:c>
      <x:c r="F267" s="18" t="str">
        <x:v>Global · sin filtro de idioma</x:v>
      </x:c>
      <x:c r="G267" s="18" t="str">
        <x:v>search_volume</x:v>
      </x:c>
      <x:c r="H267" s="18" t="str">
        <x:v>global-initial-screen.json</x:v>
      </x:c>
      <x:c r="I267" s="18" t="str">
        <x:v>10181645-1949-0367-0000-721aab5cac1a</x:v>
      </x:c>
      <x:c r="J267" s="18" t="str">
        <x:v>No</x:v>
      </x:c>
    </x:row>
    <x:row r="268" ht="34" customHeight="1">
      <x:c r="A268" s="18" t="str">
        <x:v>indian-rummy</x:v>
      </x:c>
      <x:c r="B268" s="18" t="str">
        <x:v>indian rummy</x:v>
      </x:c>
      <x:c r="C268" s="19" t="n">
        <x:v>201000</x:v>
      </x:c>
      <x:c r="D268" s="18" t="str">
        <x:v>No</x:v>
      </x:c>
      <x:c r="E268" s="18" t="str">
        <x:v>2025-10 / 2026-09</x:v>
      </x:c>
      <x:c r="F268" s="18" t="str">
        <x:v>Global · sin filtro de idioma</x:v>
      </x:c>
      <x:c r="G268" s="18" t="str">
        <x:v>search_volume</x:v>
      </x:c>
      <x:c r="H268" s="18" t="str">
        <x:v>global-candidates.json</x:v>
      </x:c>
      <x:c r="I268" s="18" t="str">
        <x:v>10181909-1949-0367-0000-d6f424f63198</x:v>
      </x:c>
      <x:c r="J268" s="18" t="str">
        <x:v>No</x:v>
      </x:c>
    </x:row>
    <x:row r="269" ht="34" customHeight="1">
      <x:c r="A269" s="18" t="str">
        <x:v>indian-rummy</x:v>
      </x:c>
      <x:c r="B269" s="18" t="str">
        <x:v>rummy game</x:v>
      </x:c>
      <x:c r="C269" s="19" t="n">
        <x:v>368000</x:v>
      </x:c>
      <x:c r="D269" s="18" t="str">
        <x:v>No</x:v>
      </x:c>
      <x:c r="E269" s="18" t="str">
        <x:v>2025-10 / 2026-09</x:v>
      </x:c>
      <x:c r="F269" s="18" t="str">
        <x:v>Global · sin filtro de idioma</x:v>
      </x:c>
      <x:c r="G269" s="18" t="str">
        <x:v>search_volume</x:v>
      </x:c>
      <x:c r="H269" s="18" t="str">
        <x:v>global-candidates.json</x:v>
      </x:c>
      <x:c r="I269" s="18" t="str">
        <x:v>10181909-1949-0367-0000-d6f424f63198</x:v>
      </x:c>
      <x:c r="J269" s="18" t="str">
        <x:v>No</x:v>
      </x:c>
    </x:row>
    <x:row r="270" ht="34" customHeight="1">
      <x:c r="A270" s="18" t="str">
        <x:v>indian-rummy</x:v>
      </x:c>
      <x:c r="B270" s="18" t="str">
        <x:v>indian rummy game</x:v>
      </x:c>
      <x:c r="C270" s="19" t="n">
        <x:v>201000</x:v>
      </x:c>
      <x:c r="D270" s="18" t="str">
        <x:v>No</x:v>
      </x:c>
      <x:c r="E270" s="18" t="str">
        <x:v>2025-10 / 2026-09</x:v>
      </x:c>
      <x:c r="F270" s="18" t="str">
        <x:v>Global · sin filtro de idioma</x:v>
      </x:c>
      <x:c r="G270" s="18" t="str">
        <x:v>search_volume</x:v>
      </x:c>
      <x:c r="H270" s="18" t="str">
        <x:v>global-refinement.json</x:v>
      </x:c>
      <x:c r="I270" s="18" t="str">
        <x:v>10181917-1949-0367-0000-6ceea1dc515c</x:v>
      </x:c>
      <x:c r="J270" s="18" t="str">
        <x:v>No</x:v>
      </x:c>
    </x:row>
    <x:row r="271" ht="34" customHeight="1">
      <x:c r="A271" s="18" t="str">
        <x:v>texas-holdem</x:v>
      </x:c>
      <x:c r="B271" s="18" t="str">
        <x:v>poker</x:v>
      </x:c>
      <x:c r="C271" s="19" t="n">
        <x:v>1220000</x:v>
      </x:c>
      <x:c r="D271" s="18" t="str">
        <x:v>Sí</x:v>
      </x:c>
      <x:c r="E271" s="18" t="str">
        <x:v>2025-10 / 2026-09</x:v>
      </x:c>
      <x:c r="F271" s="18" t="str">
        <x:v>Global · sin filtro de idioma</x:v>
      </x:c>
      <x:c r="G271" s="18" t="str">
        <x:v>search_volume</x:v>
      </x:c>
      <x:c r="H271" s="18" t="str">
        <x:v>global-initial-screen.json</x:v>
      </x:c>
      <x:c r="I271" s="18" t="str">
        <x:v>10181645-1949-0367-0000-721aab5cac1a</x:v>
      </x:c>
      <x:c r="J271" s="18" t="str">
        <x:v>No</x:v>
      </x:c>
    </x:row>
    <x:row r="272" ht="34" customHeight="1">
      <x:c r="A272" s="18" t="str">
        <x:v>texas-holdem</x:v>
      </x:c>
      <x:c r="B272" s="18" t="str">
        <x:v>texas holdem</x:v>
      </x:c>
      <x:c r="C272" s="19" t="n">
        <x:v>246000</x:v>
      </x:c>
      <x:c r="D272" s="18" t="str">
        <x:v>No</x:v>
      </x:c>
      <x:c r="E272" s="18" t="str">
        <x:v>2025-10 / 2026-09</x:v>
      </x:c>
      <x:c r="F272" s="18" t="str">
        <x:v>Global · sin filtro de idioma</x:v>
      </x:c>
      <x:c r="G272" s="18" t="str">
        <x:v>search_volume</x:v>
      </x:c>
      <x:c r="H272" s="18" t="str">
        <x:v>global-initial-screen.json</x:v>
      </x:c>
      <x:c r="I272" s="18" t="str">
        <x:v>10181645-1949-0367-0000-721aab5cac1a</x:v>
      </x:c>
      <x:c r="J272" s="18" t="str">
        <x:v>No</x:v>
      </x:c>
    </x:row>
    <x:row r="273" ht="34" customHeight="1">
      <x:c r="A273" s="18" t="str">
        <x:v>texas-holdem</x:v>
      </x:c>
      <x:c r="B273" s="18" t="str">
        <x:v>poker online</x:v>
      </x:c>
      <x:c r="C273" s="19" t="n">
        <x:v>201000</x:v>
      </x:c>
      <x:c r="D273" s="18" t="str">
        <x:v>No</x:v>
      </x:c>
      <x:c r="E273" s="18" t="str">
        <x:v>2025-10 / 2026-09</x:v>
      </x:c>
      <x:c r="F273" s="18" t="str">
        <x:v>Global · sin filtro de idioma</x:v>
      </x:c>
      <x:c r="G273" s="18" t="str">
        <x:v>search_volume</x:v>
      </x:c>
      <x:c r="H273" s="18" t="str">
        <x:v>global-candidates.json</x:v>
      </x:c>
      <x:c r="I273" s="18" t="str">
        <x:v>10181909-1949-0367-0000-d6f424f63198</x:v>
      </x:c>
      <x:c r="J273" s="18" t="str">
        <x:v>No</x:v>
      </x:c>
    </x:row>
    <x:row r="274" ht="34" customHeight="1">
      <x:c r="A274" s="18" t="str">
        <x:v>texas-holdem</x:v>
      </x:c>
      <x:c r="B274" s="18" t="str">
        <x:v>texas holdem poker game</x:v>
      </x:c>
      <x:c r="C274" s="19" t="n">
        <x:v>8100</x:v>
      </x:c>
      <x:c r="D274" s="18" t="str">
        <x:v>No</x:v>
      </x:c>
      <x:c r="E274" s="18" t="str">
        <x:v>2025-10 / 2026-09</x:v>
      </x:c>
      <x:c r="F274" s="18" t="str">
        <x:v>Global · sin filtro de idioma</x:v>
      </x:c>
      <x:c r="G274" s="18" t="str">
        <x:v>search_volume</x:v>
      </x:c>
      <x:c r="H274" s="18" t="str">
        <x:v>global-refinement.json</x:v>
      </x:c>
      <x:c r="I274" s="18" t="str">
        <x:v>10181917-1949-0367-0000-6ceea1dc515c</x:v>
      </x:c>
      <x:c r="J274" s="18" t="str">
        <x:v>No</x:v>
      </x:c>
    </x:row>
    <x:row r="275" ht="34" customHeight="1">
      <x:c r="A275" s="18" t="str">
        <x:v>texas-holdem</x:v>
      </x:c>
      <x:c r="B275" s="18" t="str">
        <x:v>free poker game</x:v>
      </x:c>
      <x:c r="C275" s="19" t="n">
        <x:v>33100</x:v>
      </x:c>
      <x:c r="D275" s="18" t="str">
        <x:v>No</x:v>
      </x:c>
      <x:c r="E275" s="18" t="str">
        <x:v>2025-10 / 2026-09</x:v>
      </x:c>
      <x:c r="F275" s="18" t="str">
        <x:v>Global · sin filtro de idioma</x:v>
      </x:c>
      <x:c r="G275" s="18" t="str">
        <x:v>search_volume</x:v>
      </x:c>
      <x:c r="H275" s="18" t="str">
        <x:v>global-refinement.json</x:v>
      </x:c>
      <x:c r="I275" s="18" t="str">
        <x:v>10181917-1949-0367-0000-6ceea1dc515c</x:v>
      </x:c>
      <x:c r="J275" s="18" t="str">
        <x:v>No</x:v>
      </x:c>
    </x:row>
    <x:row r="276" ht="34" customHeight="1">
      <x:c r="A276" s="18" t="str">
        <x:v>teen-patti</x:v>
      </x:c>
      <x:c r="B276" s="18" t="str">
        <x:v>teen patti</x:v>
      </x:c>
      <x:c r="C276" s="19" t="n">
        <x:v>368000</x:v>
      </x:c>
      <x:c r="D276" s="18" t="str">
        <x:v>Sí</x:v>
      </x:c>
      <x:c r="E276" s="18" t="str">
        <x:v>2025-10 / 2026-09</x:v>
      </x:c>
      <x:c r="F276" s="18" t="str">
        <x:v>Global · sin filtro de idioma</x:v>
      </x:c>
      <x:c r="G276" s="18" t="str">
        <x:v>search_volume</x:v>
      </x:c>
      <x:c r="H276" s="18" t="str">
        <x:v>global-initial-screen.json</x:v>
      </x:c>
      <x:c r="I276" s="18" t="str">
        <x:v>10181645-1949-0367-0000-721aab5cac1a</x:v>
      </x:c>
      <x:c r="J276" s="18" t="str">
        <x:v>No</x:v>
      </x:c>
    </x:row>
    <x:row r="277" ht="34" customHeight="1">
      <x:c r="A277" s="18" t="str">
        <x:v>teen-patti</x:v>
      </x:c>
      <x:c r="B277" s="18" t="str">
        <x:v>teenpatti</x:v>
      </x:c>
      <x:c r="C277" s="19" t="n">
        <x:v>368000</x:v>
      </x:c>
      <x:c r="D277" s="18" t="str">
        <x:v>No</x:v>
      </x:c>
      <x:c r="E277" s="18" t="str">
        <x:v>2025-10 / 2026-09</x:v>
      </x:c>
      <x:c r="F277" s="18" t="str">
        <x:v>Global · sin filtro de idioma</x:v>
      </x:c>
      <x:c r="G277" s="18" t="str">
        <x:v>search_volume</x:v>
      </x:c>
      <x:c r="H277" s="18" t="str">
        <x:v>global-candidates.json</x:v>
      </x:c>
      <x:c r="I277" s="18" t="str">
        <x:v>10181909-1949-0367-0000-d6f424f63198</x:v>
      </x:c>
      <x:c r="J277" s="18" t="str">
        <x:v>No</x:v>
      </x:c>
    </x:row>
    <x:row r="278" ht="34" customHeight="1">
      <x:c r="A278" s="18" t="str">
        <x:v>teen-patti</x:v>
      </x:c>
      <x:c r="B278" s="18" t="str">
        <x:v>teen patti game</x:v>
      </x:c>
      <x:c r="C278" s="19" t="n">
        <x:v>90500</x:v>
      </x:c>
      <x:c r="D278" s="18" t="str">
        <x:v>No</x:v>
      </x:c>
      <x:c r="E278" s="18" t="str">
        <x:v>2025-10 / 2026-09</x:v>
      </x:c>
      <x:c r="F278" s="18" t="str">
        <x:v>Global · sin filtro de idioma</x:v>
      </x:c>
      <x:c r="G278" s="18" t="str">
        <x:v>search_volume</x:v>
      </x:c>
      <x:c r="H278" s="18" t="str">
        <x:v>global-candidates.json</x:v>
      </x:c>
      <x:c r="I278" s="18" t="str">
        <x:v>10181909-1949-0367-0000-d6f424f63198</x:v>
      </x:c>
      <x:c r="J278" s="18" t="str">
        <x:v>No</x:v>
      </x:c>
    </x:row>
    <x:row r="279" ht="34" customHeight="1">
      <x:c r="A279" s="18" t="str">
        <x:v>baccarat-practice</x:v>
      </x:c>
      <x:c r="B279" s="18" t="str">
        <x:v>baccarat</x:v>
      </x:c>
      <x:c r="C279" s="19" t="n">
        <x:v>673000</x:v>
      </x:c>
      <x:c r="D279" s="18" t="str">
        <x:v>Sí</x:v>
      </x:c>
      <x:c r="E279" s="18" t="str">
        <x:v>2025-10 / 2026-09</x:v>
      </x:c>
      <x:c r="F279" s="18" t="str">
        <x:v>Global · sin filtro de idioma</x:v>
      </x:c>
      <x:c r="G279" s="18" t="str">
        <x:v>search_volume</x:v>
      </x:c>
      <x:c r="H279" s="18" t="str">
        <x:v>global-initial-screen.json</x:v>
      </x:c>
      <x:c r="I279" s="18" t="str">
        <x:v>10181645-1949-0367-0000-721aab5cac1a</x:v>
      </x:c>
      <x:c r="J279" s="18" t="str">
        <x:v>No</x:v>
      </x:c>
    </x:row>
    <x:row r="280" ht="34" customHeight="1">
      <x:c r="A280" s="18" t="str">
        <x:v>baccarat-practice</x:v>
      </x:c>
      <x:c r="B280" s="18" t="str">
        <x:v>baccarat game</x:v>
      </x:c>
      <x:c r="C280" s="19" t="n">
        <x:v>40500</x:v>
      </x:c>
      <x:c r="D280" s="18" t="str">
        <x:v>No</x:v>
      </x:c>
      <x:c r="E280" s="18" t="str">
        <x:v>2025-10 / 2026-09</x:v>
      </x:c>
      <x:c r="F280" s="18" t="str">
        <x:v>Global · sin filtro de idioma</x:v>
      </x:c>
      <x:c r="G280" s="18" t="str">
        <x:v>search_volume</x:v>
      </x:c>
      <x:c r="H280" s="18" t="str">
        <x:v>global-candidates.json</x:v>
      </x:c>
      <x:c r="I280" s="18" t="str">
        <x:v>10181909-1949-0367-0000-d6f424f63198</x:v>
      </x:c>
      <x:c r="J280" s="18" t="str">
        <x:v>No</x:v>
      </x:c>
    </x:row>
    <x:row r="281" ht="34" customHeight="1">
      <x:c r="A281" s="18" t="str">
        <x:v>baccarat-practice</x:v>
      </x:c>
      <x:c r="B281" s="18" t="str">
        <x:v>baccarat online</x:v>
      </x:c>
      <x:c r="C281" s="19" t="n">
        <x:v>18100</x:v>
      </x:c>
      <x:c r="D281" s="18" t="str">
        <x:v>No</x:v>
      </x:c>
      <x:c r="E281" s="18" t="str">
        <x:v>2025-10 / 2026-09</x:v>
      </x:c>
      <x:c r="F281" s="18" t="str">
        <x:v>Global · sin filtro de idioma</x:v>
      </x:c>
      <x:c r="G281" s="18" t="str">
        <x:v>search_volume</x:v>
      </x:c>
      <x:c r="H281" s="18" t="str">
        <x:v>global-candidates.json</x:v>
      </x:c>
      <x:c r="I281" s="18" t="str">
        <x:v>10181909-1949-0367-0000-d6f424f63198</x:v>
      </x:c>
      <x:c r="J281" s="18" t="str">
        <x:v>No</x:v>
      </x:c>
    </x:row>
    <x:row r="282" ht="34" customHeight="1">
      <x:c r="A282" s="18" t="str">
        <x:v>baccarat-practice</x:v>
      </x:c>
      <x:c r="B282" s="18" t="str">
        <x:v>baccarat simulator</x:v>
      </x:c>
      <x:c r="C282" s="19" t="n">
        <x:v>2900</x:v>
      </x:c>
      <x:c r="D282" s="18" t="str">
        <x:v>No</x:v>
      </x:c>
      <x:c r="E282" s="18" t="str">
        <x:v>2025-10 / 2026-09</x:v>
      </x:c>
      <x:c r="F282" s="18" t="str">
        <x:v>Global · sin filtro de idioma</x:v>
      </x:c>
      <x:c r="G282" s="18" t="str">
        <x:v>search_volume</x:v>
      </x:c>
      <x:c r="H282" s="18" t="str">
        <x:v>global-refinement.json</x:v>
      </x:c>
      <x:c r="I282" s="18" t="str">
        <x:v>10181917-1949-0367-0000-6ceea1dc515c</x:v>
      </x:c>
      <x:c r="J282" s="18" t="str">
        <x:v>No</x:v>
      </x:c>
    </x:row>
    <x:row r="283" ht="34" customHeight="1">
      <x:c r="A283" s="18" t="str">
        <x:v>baccarat-practice</x:v>
      </x:c>
      <x:c r="B283" s="18" t="str">
        <x:v>baccarat practice</x:v>
      </x:c>
      <x:c r="C283" s="19" t="n">
        <x:v>320</x:v>
      </x:c>
      <x:c r="D283" s="18" t="str">
        <x:v>No</x:v>
      </x:c>
      <x:c r="E283" s="18" t="str">
        <x:v>2025-10 / 2026-09</x:v>
      </x:c>
      <x:c r="F283" s="18" t="str">
        <x:v>Global · sin filtro de idioma</x:v>
      </x:c>
      <x:c r="G283" s="18" t="str">
        <x:v>search_volume</x:v>
      </x:c>
      <x:c r="H283" s="18" t="str">
        <x:v>global-refinement.json</x:v>
      </x:c>
      <x:c r="I283" s="18" t="str">
        <x:v>10181917-1949-0367-0000-6ceea1dc515c</x:v>
      </x:c>
      <x:c r="J283" s="18" t="str">
        <x:v>No</x:v>
      </x:c>
    </x:row>
    <x:row r="284" ht="34" customHeight="1">
      <x:c r="A284" s="18" t="str">
        <x:v>roulette-practice</x:v>
      </x:c>
      <x:c r="B284" s="18" t="str">
        <x:v>roulette</x:v>
      </x:c>
      <x:c r="C284" s="19" t="n">
        <x:v>673000</x:v>
      </x:c>
      <x:c r="D284" s="18" t="str">
        <x:v>Sí</x:v>
      </x:c>
      <x:c r="E284" s="18" t="str">
        <x:v>2025-10 / 2026-09</x:v>
      </x:c>
      <x:c r="F284" s="18" t="str">
        <x:v>Global · sin filtro de idioma</x:v>
      </x:c>
      <x:c r="G284" s="18" t="str">
        <x:v>search_volume</x:v>
      </x:c>
      <x:c r="H284" s="18" t="str">
        <x:v>global-candidates.json</x:v>
      </x:c>
      <x:c r="I284" s="18" t="str">
        <x:v>10181909-1949-0367-0000-d6f424f63198</x:v>
      </x:c>
      <x:c r="J284" s="18" t="str">
        <x:v>No</x:v>
      </x:c>
    </x:row>
    <x:row r="285" ht="34" customHeight="1">
      <x:c r="A285" s="18" t="str">
        <x:v>roulette-practice</x:v>
      </x:c>
      <x:c r="B285" s="18" t="str">
        <x:v>roulette game</x:v>
      </x:c>
      <x:c r="C285" s="19" t="n">
        <x:v>27100</x:v>
      </x:c>
      <x:c r="D285" s="18" t="str">
        <x:v>No</x:v>
      </x:c>
      <x:c r="E285" s="18" t="str">
        <x:v>2025-10 / 2026-09</x:v>
      </x:c>
      <x:c r="F285" s="18" t="str">
        <x:v>Global · sin filtro de idioma</x:v>
      </x:c>
      <x:c r="G285" s="18" t="str">
        <x:v>search_volume</x:v>
      </x:c>
      <x:c r="H285" s="18" t="str">
        <x:v>global-candidates.json</x:v>
      </x:c>
      <x:c r="I285" s="18" t="str">
        <x:v>10181909-1949-0367-0000-d6f424f63198</x:v>
      </x:c>
      <x:c r="J285" s="18" t="str">
        <x:v>No</x:v>
      </x:c>
    </x:row>
    <x:row r="286" ht="34" customHeight="1">
      <x:c r="A286" s="18" t="str">
        <x:v>roulette-practice</x:v>
      </x:c>
      <x:c r="B286" s="18" t="str">
        <x:v>roulette simulator</x:v>
      </x:c>
      <x:c r="C286" s="19" t="n">
        <x:v>49500</x:v>
      </x:c>
      <x:c r="D286" s="18" t="str">
        <x:v>No</x:v>
      </x:c>
      <x:c r="E286" s="18" t="str">
        <x:v>2025-10 / 2026-09</x:v>
      </x:c>
      <x:c r="F286" s="18" t="str">
        <x:v>Global · sin filtro de idioma</x:v>
      </x:c>
      <x:c r="G286" s="18" t="str">
        <x:v>search_volume</x:v>
      </x:c>
      <x:c r="H286" s="18" t="str">
        <x:v>global-initial-screen.json</x:v>
      </x:c>
      <x:c r="I286" s="18" t="str">
        <x:v>10181645-1949-0367-0000-721aab5cac1a</x:v>
      </x:c>
      <x:c r="J286" s="18" t="str">
        <x:v>No</x:v>
      </x:c>
    </x:row>
    <x:row r="287" ht="34" customHeight="1">
      <x:c r="A287" s="18" t="str">
        <x:v>roulette-practice</x:v>
      </x:c>
      <x:c r="B287" s="18" t="str">
        <x:v>roulette simulator</x:v>
      </x:c>
      <x:c r="C287" s="19" t="n">
        <x:v>49500</x:v>
      </x:c>
      <x:c r="D287" s="18" t="str">
        <x:v>No</x:v>
      </x:c>
      <x:c r="E287" s="18" t="str">
        <x:v>2025-10 / 2026-09</x:v>
      </x:c>
      <x:c r="F287" s="18" t="str">
        <x:v>Global · sin filtro de idioma</x:v>
      </x:c>
      <x:c r="G287" s="18" t="str">
        <x:v>search_volume</x:v>
      </x:c>
      <x:c r="H287" s="18" t="str">
        <x:v>global-initial-screen.json</x:v>
      </x:c>
      <x:c r="I287" s="18" t="str">
        <x:v>10181645-1949-0367-0000-721aab5cac1a</x:v>
      </x:c>
      <x:c r="J287" s="18" t="str">
        <x:v>No</x:v>
      </x:c>
    </x:row>
    <x:row r="288" ht="34" customHeight="1">
      <x:c r="A288" s="18" t="str">
        <x:v>roulette-practice</x:v>
      </x:c>
      <x:c r="B288" s="18" t="str">
        <x:v>roulette practice</x:v>
      </x:c>
      <x:c r="C288" s="19" t="n">
        <x:v>1300</x:v>
      </x:c>
      <x:c r="D288" s="18" t="str">
        <x:v>No</x:v>
      </x:c>
      <x:c r="E288" s="18" t="str">
        <x:v>2025-10 / 2026-09</x:v>
      </x:c>
      <x:c r="F288" s="18" t="str">
        <x:v>Global · sin filtro de idioma</x:v>
      </x:c>
      <x:c r="G288" s="18" t="str">
        <x:v>search_volume</x:v>
      </x:c>
      <x:c r="H288" s="18" t="str">
        <x:v>global-refinement.json</x:v>
      </x:c>
      <x:c r="I288" s="18" t="str">
        <x:v>10181917-1949-0367-0000-6ceea1dc515c</x:v>
      </x:c>
      <x:c r="J288" s="18" t="str">
        <x:v>No</x:v>
      </x:c>
    </x:row>
    <x:row r="289" ht="34" customHeight="1">
      <x:c r="A289" s="18" t="str">
        <x:v>durak</x:v>
      </x:c>
      <x:c r="B289" s="18" t="str">
        <x:v>durak</x:v>
      </x:c>
      <x:c r="C289" s="19" t="n">
        <x:v>60500</x:v>
      </x:c>
      <x:c r="D289" s="18" t="str">
        <x:v>No</x:v>
      </x:c>
      <x:c r="E289" s="18" t="str">
        <x:v>2025-10 / 2026-09</x:v>
      </x:c>
      <x:c r="F289" s="18" t="str">
        <x:v>Global · sin filtro de idioma</x:v>
      </x:c>
      <x:c r="G289" s="18" t="str">
        <x:v>search_volume</x:v>
      </x:c>
      <x:c r="H289" s="18" t="str">
        <x:v>global-initial-screen.json</x:v>
      </x:c>
      <x:c r="I289" s="18" t="str">
        <x:v>10181645-1949-0367-0000-721aab5cac1a</x:v>
      </x:c>
      <x:c r="J289" s="18" t="str">
        <x:v>No</x:v>
      </x:c>
    </x:row>
    <x:row r="290" ht="34" customHeight="1">
      <x:c r="A290" s="18" t="str">
        <x:v>durak</x:v>
      </x:c>
      <x:c r="B290" s="18" t="str">
        <x:v>дурак онлайн</x:v>
      </x:c>
      <x:c r="C290" s="19" t="n">
        <x:v>246000</x:v>
      </x:c>
      <x:c r="D290" s="18" t="str">
        <x:v>Sí</x:v>
      </x:c>
      <x:c r="E290" s="18" t="str">
        <x:v>2025-10 / 2026-09</x:v>
      </x:c>
      <x:c r="F290" s="18" t="str">
        <x:v>Global · sin filtro de idioma</x:v>
      </x:c>
      <x:c r="G290" s="18" t="str">
        <x:v>search_volume</x:v>
      </x:c>
      <x:c r="H290" s="18" t="str">
        <x:v>global-candidates.json</x:v>
      </x:c>
      <x:c r="I290" s="18" t="str">
        <x:v>10181909-1949-0367-0000-d6f424f63198</x:v>
      </x:c>
      <x:c r="J290" s="18" t="str">
        <x:v>No</x:v>
      </x:c>
    </x:row>
    <x:row r="291" ht="34" customHeight="1">
      <x:c r="A291" s="18" t="str">
        <x:v>durak</x:v>
      </x:c>
      <x:c r="B291" s="18" t="str">
        <x:v>durak online</x:v>
      </x:c>
      <x:c r="C291" s="19" t="n">
        <x:v>18100</x:v>
      </x:c>
      <x:c r="D291" s="18" t="str">
        <x:v>No</x:v>
      </x:c>
      <x:c r="E291" s="18" t="str">
        <x:v>2025-10 / 2026-09</x:v>
      </x:c>
      <x:c r="F291" s="18" t="str">
        <x:v>Global · sin filtro de idioma</x:v>
      </x:c>
      <x:c r="G291" s="18" t="str">
        <x:v>search_volume</x:v>
      </x:c>
      <x:c r="H291" s="18" t="str">
        <x:v>global-candidates.json</x:v>
      </x:c>
      <x:c r="I291" s="18" t="str">
        <x:v>10181909-1949-0367-0000-d6f424f63198</x:v>
      </x:c>
      <x:c r="J291" s="18" t="str">
        <x:v>No</x:v>
      </x:c>
    </x:row>
    <x:row r="292" ht="34" customHeight="1">
      <x:c r="A292" s="18" t="str">
        <x:v>belote</x:v>
      </x:c>
      <x:c r="B292" s="18" t="str">
        <x:v>belote</x:v>
      </x:c>
      <x:c r="C292" s="19" t="n">
        <x:v>135000</x:v>
      </x:c>
      <x:c r="D292" s="18" t="str">
        <x:v>Sí</x:v>
      </x:c>
      <x:c r="E292" s="18" t="str">
        <x:v>2025-10 / 2026-09</x:v>
      </x:c>
      <x:c r="F292" s="18" t="str">
        <x:v>Global · sin filtro de idioma</x:v>
      </x:c>
      <x:c r="G292" s="18" t="str">
        <x:v>search_volume</x:v>
      </x:c>
      <x:c r="H292" s="18" t="str">
        <x:v>global-initial-screen.json</x:v>
      </x:c>
      <x:c r="I292" s="18" t="str">
        <x:v>10181645-1949-0367-0000-721aab5cac1a</x:v>
      </x:c>
      <x:c r="J292" s="18" t="str">
        <x:v>No</x:v>
      </x:c>
    </x:row>
    <x:row r="293" ht="34" customHeight="1">
      <x:c r="A293" s="18" t="str">
        <x:v>belote</x:v>
      </x:c>
      <x:c r="B293" s="18" t="str">
        <x:v>belote en ligne</x:v>
      </x:c>
      <x:c r="C293" s="19" t="n">
        <x:v>60500</x:v>
      </x:c>
      <x:c r="D293" s="18" t="str">
        <x:v>No</x:v>
      </x:c>
      <x:c r="E293" s="18" t="str">
        <x:v>2025-10 / 2026-09</x:v>
      </x:c>
      <x:c r="F293" s="18" t="str">
        <x:v>Global · sin filtro de idioma</x:v>
      </x:c>
      <x:c r="G293" s="18" t="str">
        <x:v>search_volume</x:v>
      </x:c>
      <x:c r="H293" s="18" t="str">
        <x:v>global-candidates.json</x:v>
      </x:c>
      <x:c r="I293" s="18" t="str">
        <x:v>10181909-1949-0367-0000-d6f424f63198</x:v>
      </x:c>
      <x:c r="J293" s="18" t="str">
        <x:v>No</x:v>
      </x:c>
    </x:row>
    <x:row r="294" ht="34" customHeight="1">
      <x:c r="A294" s="18" t="str">
        <x:v>belote</x:v>
      </x:c>
      <x:c r="B294" s="18" t="str">
        <x:v>belote online</x:v>
      </x:c>
      <x:c r="C294" s="19" t="n">
        <x:v>3600</x:v>
      </x:c>
      <x:c r="D294" s="18" t="str">
        <x:v>No</x:v>
      </x:c>
      <x:c r="E294" s="18" t="str">
        <x:v>2025-10 / 2026-09</x:v>
      </x:c>
      <x:c r="F294" s="18" t="str">
        <x:v>Global · sin filtro de idioma</x:v>
      </x:c>
      <x:c r="G294" s="18" t="str">
        <x:v>search_volume</x:v>
      </x:c>
      <x:c r="H294" s="18" t="str">
        <x:v>global-candidates.json</x:v>
      </x:c>
      <x:c r="I294" s="18" t="str">
        <x:v>10181909-1949-0367-0000-d6f424f63198</x:v>
      </x:c>
      <x:c r="J294" s="18" t="str">
        <x:v>No</x:v>
      </x:c>
    </x:row>
    <x:row r="295" ht="34" customHeight="1">
      <x:c r="A295" s="18" t="str">
        <x:v>briscola</x:v>
      </x:c>
      <x:c r="B295" s="18" t="str">
        <x:v>briscola</x:v>
      </x:c>
      <x:c r="C295" s="19" t="n">
        <x:v>40500</x:v>
      </x:c>
      <x:c r="D295" s="18" t="str">
        <x:v>Sí</x:v>
      </x:c>
      <x:c r="E295" s="18" t="str">
        <x:v>2025-10 / 2026-09</x:v>
      </x:c>
      <x:c r="F295" s="18" t="str">
        <x:v>Global · sin filtro de idioma</x:v>
      </x:c>
      <x:c r="G295" s="18" t="str">
        <x:v>search_volume</x:v>
      </x:c>
      <x:c r="H295" s="18" t="str">
        <x:v>global-candidates.json</x:v>
      </x:c>
      <x:c r="I295" s="18" t="str">
        <x:v>10181909-1949-0367-0000-d6f424f63198</x:v>
      </x:c>
      <x:c r="J295" s="18" t="str">
        <x:v>No</x:v>
      </x:c>
    </x:row>
    <x:row r="296" ht="34" customHeight="1">
      <x:c r="A296" s="18" t="str">
        <x:v>briscola</x:v>
      </x:c>
      <x:c r="B296" s="18" t="str">
        <x:v>brisca</x:v>
      </x:c>
      <x:c r="C296" s="19" t="n">
        <x:v>14800</x:v>
      </x:c>
      <x:c r="D296" s="18" t="str">
        <x:v>No</x:v>
      </x:c>
      <x:c r="E296" s="18" t="str">
        <x:v>2025-10 / 2026-09</x:v>
      </x:c>
      <x:c r="F296" s="18" t="str">
        <x:v>Global · sin filtro de idioma</x:v>
      </x:c>
      <x:c r="G296" s="18" t="str">
        <x:v>search_volume</x:v>
      </x:c>
      <x:c r="H296" s="18" t="str">
        <x:v>global-candidates.json</x:v>
      </x:c>
      <x:c r="I296" s="18" t="str">
        <x:v>10181909-1949-0367-0000-d6f424f63198</x:v>
      </x:c>
      <x:c r="J296" s="18" t="str">
        <x:v>No</x:v>
      </x:c>
    </x:row>
    <x:row r="297" ht="34" customHeight="1">
      <x:c r="A297" s="18" t="str">
        <x:v>briscola</x:v>
      </x:c>
      <x:c r="B297" s="18" t="str">
        <x:v>briscola online</x:v>
      </x:c>
      <x:c r="C297" s="19" t="n">
        <x:v>40500</x:v>
      </x:c>
      <x:c r="D297" s="18" t="str">
        <x:v>No</x:v>
      </x:c>
      <x:c r="E297" s="18" t="str">
        <x:v>2025-10 / 2026-09</x:v>
      </x:c>
      <x:c r="F297" s="18" t="str">
        <x:v>Global · sin filtro de idioma</x:v>
      </x:c>
      <x:c r="G297" s="18" t="str">
        <x:v>search_volume</x:v>
      </x:c>
      <x:c r="H297" s="18" t="str">
        <x:v>global-candidates.json</x:v>
      </x:c>
      <x:c r="I297" s="18" t="str">
        <x:v>10181909-1949-0367-0000-d6f424f63198</x:v>
      </x:c>
      <x:c r="J297" s="18" t="str">
        <x:v>No</x:v>
      </x:c>
    </x:row>
    <x:row r="298" ht="34" customHeight="1">
      <x:c r="A298" s="18" t="str">
        <x:v>scopa</x:v>
      </x:c>
      <x:c r="B298" s="18" t="str">
        <x:v>scopa</x:v>
      </x:c>
      <x:c r="C298" s="19" t="n">
        <x:v>165000</x:v>
      </x:c>
      <x:c r="D298" s="18" t="str">
        <x:v>Sí</x:v>
      </x:c>
      <x:c r="E298" s="18" t="str">
        <x:v>2025-10 / 2026-09</x:v>
      </x:c>
      <x:c r="F298" s="18" t="str">
        <x:v>Global · sin filtro de idioma</x:v>
      </x:c>
      <x:c r="G298" s="18" t="str">
        <x:v>search_volume</x:v>
      </x:c>
      <x:c r="H298" s="18" t="str">
        <x:v>global-candidates.json</x:v>
      </x:c>
      <x:c r="I298" s="18" t="str">
        <x:v>10181909-1949-0367-0000-d6f424f63198</x:v>
      </x:c>
      <x:c r="J298" s="18" t="str">
        <x:v>No</x:v>
      </x:c>
    </x:row>
    <x:row r="299" ht="34" customHeight="1">
      <x:c r="A299" s="18" t="str">
        <x:v>scopa</x:v>
      </x:c>
      <x:c r="B299" s="18" t="str">
        <x:v>scopa online</x:v>
      </x:c>
      <x:c r="C299" s="19" t="n">
        <x:v>74000</x:v>
      </x:c>
      <x:c r="D299" s="18" t="str">
        <x:v>No</x:v>
      </x:c>
      <x:c r="E299" s="18" t="str">
        <x:v>2025-10 / 2026-09</x:v>
      </x:c>
      <x:c r="F299" s="18" t="str">
        <x:v>Global · sin filtro de idioma</x:v>
      </x:c>
      <x:c r="G299" s="18" t="str">
        <x:v>search_volume</x:v>
      </x:c>
      <x:c r="H299" s="18" t="str">
        <x:v>global-candidates.json</x:v>
      </x:c>
      <x:c r="I299" s="18" t="str">
        <x:v>10181909-1949-0367-0000-d6f424f63198</x:v>
      </x:c>
      <x:c r="J299" s="18" t="str">
        <x:v>No</x:v>
      </x:c>
    </x:row>
    <x:row r="300" ht="34" customHeight="1">
      <x:c r="A300" s="18" t="str">
        <x:v>scopa</x:v>
      </x:c>
      <x:c r="B300" s="18" t="str">
        <x:v>scopa gioco</x:v>
      </x:c>
      <x:c r="C300" s="19" t="n">
        <x:v>22200</x:v>
      </x:c>
      <x:c r="D300" s="18" t="str">
        <x:v>No</x:v>
      </x:c>
      <x:c r="E300" s="18" t="str">
        <x:v>2025-10 / 2026-09</x:v>
      </x:c>
      <x:c r="F300" s="18" t="str">
        <x:v>Global · sin filtro de idioma</x:v>
      </x:c>
      <x:c r="G300" s="18" t="str">
        <x:v>search_volume</x:v>
      </x:c>
      <x:c r="H300" s="18" t="str">
        <x:v>global-candidates.json</x:v>
      </x:c>
      <x:c r="I300" s="18" t="str">
        <x:v>10181909-1949-0367-0000-d6f424f63198</x:v>
      </x:c>
      <x:c r="J300" s="18" t="str">
        <x:v>No</x:v>
      </x:c>
    </x:row>
    <x:row r="301" ht="34" customHeight="1">
      <x:c r="A301" s="18" t="str">
        <x:v>tute</x:v>
      </x:c>
      <x:c r="B301" s="18" t="str">
        <x:v>tute</x:v>
      </x:c>
      <x:c r="C301" s="19" t="n">
        <x:v>33100</x:v>
      </x:c>
      <x:c r="D301" s="18" t="str">
        <x:v>Sí</x:v>
      </x:c>
      <x:c r="E301" s="18" t="str">
        <x:v>2025-10 / 2026-09</x:v>
      </x:c>
      <x:c r="F301" s="18" t="str">
        <x:v>Global · sin filtro de idioma</x:v>
      </x:c>
      <x:c r="G301" s="18" t="str">
        <x:v>search_volume</x:v>
      </x:c>
      <x:c r="H301" s="18" t="str">
        <x:v>global-candidates.json</x:v>
      </x:c>
      <x:c r="I301" s="18" t="str">
        <x:v>10181909-1949-0367-0000-d6f424f63198</x:v>
      </x:c>
      <x:c r="J301" s="18" t="str">
        <x:v>No</x:v>
      </x:c>
    </x:row>
    <x:row r="302" ht="34" customHeight="1">
      <x:c r="A302" s="18" t="str">
        <x:v>tute</x:v>
      </x:c>
      <x:c r="B302" s="18" t="str">
        <x:v>tute online</x:v>
      </x:c>
      <x:c r="C302" s="19" t="n">
        <x:v>3600</x:v>
      </x:c>
      <x:c r="D302" s="18" t="str">
        <x:v>No</x:v>
      </x:c>
      <x:c r="E302" s="18" t="str">
        <x:v>2025-10 / 2026-09</x:v>
      </x:c>
      <x:c r="F302" s="18" t="str">
        <x:v>Global · sin filtro de idioma</x:v>
      </x:c>
      <x:c r="G302" s="18" t="str">
        <x:v>search_volume</x:v>
      </x:c>
      <x:c r="H302" s="18" t="str">
        <x:v>global-candidates.json</x:v>
      </x:c>
      <x:c r="I302" s="18" t="str">
        <x:v>10181909-1949-0367-0000-d6f424f63198</x:v>
      </x:c>
      <x:c r="J302" s="18" t="str">
        <x:v>No</x:v>
      </x:c>
    </x:row>
    <x:row r="303" ht="34" customHeight="1">
      <x:c r="A303" s="18" t="str">
        <x:v>tute</x:v>
      </x:c>
      <x:c r="B303" s="18" t="str">
        <x:v>jugar tute</x:v>
      </x:c>
      <x:c r="C303" s="19" t="n">
        <x:v>880</x:v>
      </x:c>
      <x:c r="D303" s="18" t="str">
        <x:v>No</x:v>
      </x:c>
      <x:c r="E303" s="18" t="str">
        <x:v>2025-10 / 2026-09</x:v>
      </x:c>
      <x:c r="F303" s="18" t="str">
        <x:v>Global · sin filtro de idioma</x:v>
      </x:c>
      <x:c r="G303" s="18" t="str">
        <x:v>search_volume</x:v>
      </x:c>
      <x:c r="H303" s="18" t="str">
        <x:v>global-candidates.json</x:v>
      </x:c>
      <x:c r="I303" s="18" t="str">
        <x:v>10181909-1949-0367-0000-d6f424f63198</x:v>
      </x:c>
      <x:c r="J303" s="18" t="str">
        <x:v>No</x:v>
      </x:c>
    </x:row>
    <x:row r="304" ht="34" customHeight="1">
      <x:c r="A304" s="18" t="str">
        <x:v>mus</x:v>
      </x:c>
      <x:c r="B304" s="18" t="str">
        <x:v>mus online</x:v>
      </x:c>
      <x:c r="C304" s="19" t="n">
        <x:v>6600</x:v>
      </x:c>
      <x:c r="D304" s="18" t="str">
        <x:v>Sí</x:v>
      </x:c>
      <x:c r="E304" s="18" t="str">
        <x:v>2025-10 / 2026-09</x:v>
      </x:c>
      <x:c r="F304" s="18" t="str">
        <x:v>Global · sin filtro de idioma</x:v>
      </x:c>
      <x:c r="G304" s="18" t="str">
        <x:v>search_volume</x:v>
      </x:c>
      <x:c r="H304" s="18" t="str">
        <x:v>global-candidates.json</x:v>
      </x:c>
      <x:c r="I304" s="18" t="str">
        <x:v>10181909-1949-0367-0000-d6f424f63198</x:v>
      </x:c>
      <x:c r="J304" s="18" t="str">
        <x:v>No</x:v>
      </x:c>
    </x:row>
    <x:row r="305" ht="34" customHeight="1">
      <x:c r="A305" s="18" t="str">
        <x:v>mus</x:v>
      </x:c>
      <x:c r="B305" s="18" t="str">
        <x:v>jugar mus</x:v>
      </x:c>
      <x:c r="C305" s="19" t="n">
        <x:v>2900</x:v>
      </x:c>
      <x:c r="D305" s="18" t="str">
        <x:v>No</x:v>
      </x:c>
      <x:c r="E305" s="18" t="str">
        <x:v>2025-10 / 2026-09</x:v>
      </x:c>
      <x:c r="F305" s="18" t="str">
        <x:v>Global · sin filtro de idioma</x:v>
      </x:c>
      <x:c r="G305" s="18" t="str">
        <x:v>search_volume</x:v>
      </x:c>
      <x:c r="H305" s="18" t="str">
        <x:v>global-candidates.json</x:v>
      </x:c>
      <x:c r="I305" s="18" t="str">
        <x:v>10181909-1949-0367-0000-d6f424f63198</x:v>
      </x:c>
      <x:c r="J305" s="18" t="str">
        <x:v>No</x:v>
      </x:c>
    </x:row>
    <x:row r="306" ht="34" customHeight="1">
      <x:c r="A306" s="18" t="str">
        <x:v>truco</x:v>
      </x:c>
      <x:c r="B306" s="18" t="str">
        <x:v>truco</x:v>
      </x:c>
      <x:c r="C306" s="19" t="n">
        <x:v>201000</x:v>
      </x:c>
      <x:c r="D306" s="18" t="str">
        <x:v>Sí</x:v>
      </x:c>
      <x:c r="E306" s="18" t="str">
        <x:v>2025-10 / 2026-09</x:v>
      </x:c>
      <x:c r="F306" s="18" t="str">
        <x:v>Global · sin filtro de idioma</x:v>
      </x:c>
      <x:c r="G306" s="18" t="str">
        <x:v>search_volume</x:v>
      </x:c>
      <x:c r="H306" s="18" t="str">
        <x:v>global-candidates.json</x:v>
      </x:c>
      <x:c r="I306" s="18" t="str">
        <x:v>10181909-1949-0367-0000-d6f424f63198</x:v>
      </x:c>
      <x:c r="J306" s="18" t="str">
        <x:v>No</x:v>
      </x:c>
    </x:row>
    <x:row r="307" ht="34" customHeight="1">
      <x:c r="A307" s="18" t="str">
        <x:v>truco</x:v>
      </x:c>
      <x:c r="B307" s="18" t="str">
        <x:v>truco online</x:v>
      </x:c>
      <x:c r="C307" s="19" t="n">
        <x:v>74000</x:v>
      </x:c>
      <x:c r="D307" s="18" t="str">
        <x:v>No</x:v>
      </x:c>
      <x:c r="E307" s="18" t="str">
        <x:v>2025-10 / 2026-09</x:v>
      </x:c>
      <x:c r="F307" s="18" t="str">
        <x:v>Global · sin filtro de idioma</x:v>
      </x:c>
      <x:c r="G307" s="18" t="str">
        <x:v>search_volume</x:v>
      </x:c>
      <x:c r="H307" s="18" t="str">
        <x:v>global-candidates.json</x:v>
      </x:c>
      <x:c r="I307" s="18" t="str">
        <x:v>10181909-1949-0367-0000-d6f424f63198</x:v>
      </x:c>
      <x:c r="J307" s="18" t="str">
        <x:v>No</x:v>
      </x:c>
    </x:row>
    <x:row r="308" ht="34" customHeight="1">
      <x:c r="A308" s="18" t="str">
        <x:v>truco</x:v>
      </x:c>
      <x:c r="B308" s="18" t="str">
        <x:v>jogar truco</x:v>
      </x:c>
      <x:c r="C308" s="19" t="n">
        <x:v>6600</x:v>
      </x:c>
      <x:c r="D308" s="18" t="str">
        <x:v>No</x:v>
      </x:c>
      <x:c r="E308" s="18" t="str">
        <x:v>2025-10 / 2026-09</x:v>
      </x:c>
      <x:c r="F308" s="18" t="str">
        <x:v>Global · sin filtro de idioma</x:v>
      </x:c>
      <x:c r="G308" s="18" t="str">
        <x:v>search_volume</x:v>
      </x:c>
      <x:c r="H308" s="18" t="str">
        <x:v>global-candidates.json</x:v>
      </x:c>
      <x:c r="I308" s="18" t="str">
        <x:v>10181909-1949-0367-0000-d6f424f63198</x:v>
      </x:c>
      <x:c r="J308" s="18" t="str">
        <x:v>No</x:v>
      </x:c>
    </x:row>
    <x:row r="309" ht="34" customHeight="1">
      <x:c r="A309" s="18" t="str">
        <x:v>buraco</x:v>
      </x:c>
      <x:c r="B309" s="18" t="str">
        <x:v>buraco</x:v>
      </x:c>
      <x:c r="C309" s="19" t="n">
        <x:v>40500</x:v>
      </x:c>
      <x:c r="D309" s="18" t="str">
        <x:v>No</x:v>
      </x:c>
      <x:c r="E309" s="18" t="str">
        <x:v>2025-10 / 2026-09</x:v>
      </x:c>
      <x:c r="F309" s="18" t="str">
        <x:v>Global · sin filtro de idioma</x:v>
      </x:c>
      <x:c r="G309" s="18" t="str">
        <x:v>search_volume</x:v>
      </x:c>
      <x:c r="H309" s="18" t="str">
        <x:v>global-candidates.json</x:v>
      </x:c>
      <x:c r="I309" s="18" t="str">
        <x:v>10181909-1949-0367-0000-d6f424f63198</x:v>
      </x:c>
      <x:c r="J309" s="18" t="str">
        <x:v>No</x:v>
      </x:c>
    </x:row>
    <x:row r="310" ht="34" customHeight="1">
      <x:c r="A310" s="18" t="str">
        <x:v>buraco</x:v>
      </x:c>
      <x:c r="B310" s="18" t="str">
        <x:v>buraco online</x:v>
      </x:c>
      <x:c r="C310" s="19" t="n">
        <x:v>9900</x:v>
      </x:c>
      <x:c r="D310" s="18" t="str">
        <x:v>No</x:v>
      </x:c>
      <x:c r="E310" s="18" t="str">
        <x:v>2025-10 / 2026-09</x:v>
      </x:c>
      <x:c r="F310" s="18" t="str">
        <x:v>Global · sin filtro de idioma</x:v>
      </x:c>
      <x:c r="G310" s="18" t="str">
        <x:v>search_volume</x:v>
      </x:c>
      <x:c r="H310" s="18" t="str">
        <x:v>global-candidates.json</x:v>
      </x:c>
      <x:c r="I310" s="18" t="str">
        <x:v>10181909-1949-0367-0000-d6f424f63198</x:v>
      </x:c>
      <x:c r="J310" s="18" t="str">
        <x:v>No</x:v>
      </x:c>
    </x:row>
    <x:row r="311" ht="34" customHeight="1">
      <x:c r="A311" s="18" t="str">
        <x:v>buraco</x:v>
      </x:c>
      <x:c r="B311" s="18" t="str">
        <x:v>burraco</x:v>
      </x:c>
      <x:c r="C311" s="19" t="n">
        <x:v>49500</x:v>
      </x:c>
      <x:c r="D311" s="18" t="str">
        <x:v>Sí</x:v>
      </x:c>
      <x:c r="E311" s="18" t="str">
        <x:v>2025-10 / 2026-09</x:v>
      </x:c>
      <x:c r="F311" s="18" t="str">
        <x:v>Global · sin filtro de idioma</x:v>
      </x:c>
      <x:c r="G311" s="18" t="str">
        <x:v>search_volume</x:v>
      </x:c>
      <x:c r="H311" s="18" t="str">
        <x:v>global-candidates.json</x:v>
      </x:c>
      <x:c r="I311" s="18" t="str">
        <x:v>10181909-1949-0367-0000-d6f424f63198</x:v>
      </x:c>
      <x:c r="J311" s="18" t="str">
        <x:v>No</x:v>
      </x:c>
    </x:row>
    <x:row r="312" ht="34" customHeight="1">
      <x:c r="A312" s="18" t="str">
        <x:v>french-tarot</x:v>
      </x:c>
      <x:c r="B312" s="18" t="str">
        <x:v>tarot jeu</x:v>
      </x:c>
      <x:c r="C312" s="19" t="str">
        <x:v>n.a.</x:v>
      </x:c>
      <x:c r="D312" s="18" t="str">
        <x:v>Sí</x:v>
      </x:c>
      <x:c r="E312" s="18" t="str">
        <x:v>n.a.</x:v>
      </x:c>
      <x:c r="F312" s="18" t="str">
        <x:v>Global · sin filtro de idioma</x:v>
      </x:c>
      <x:c r="G312" s="18" t="str">
        <x:v>search_volume</x:v>
      </x:c>
      <x:c r="H312" s="18" t="str">
        <x:v>global-candidates.json</x:v>
      </x:c>
      <x:c r="I312" s="18" t="str">
        <x:v>10181909-1949-0367-0000-d6f424f63198</x:v>
      </x:c>
      <x:c r="J312" s="18" t="str">
        <x:v>No</x:v>
      </x:c>
    </x:row>
    <x:row r="313" ht="34" customHeight="1">
      <x:c r="A313" s="18" t="str">
        <x:v>french-tarot</x:v>
      </x:c>
      <x:c r="B313" s="18" t="str">
        <x:v>tarot en ligne</x:v>
      </x:c>
      <x:c r="C313" s="19" t="str">
        <x:v>n.a.</x:v>
      </x:c>
      <x:c r="D313" s="18" t="str">
        <x:v>No</x:v>
      </x:c>
      <x:c r="E313" s="18" t="str">
        <x:v>n.a.</x:v>
      </x:c>
      <x:c r="F313" s="18" t="str">
        <x:v>Global · sin filtro de idioma</x:v>
      </x:c>
      <x:c r="G313" s="18" t="str">
        <x:v>search_volume</x:v>
      </x:c>
      <x:c r="H313" s="18" t="str">
        <x:v>global-candidates.json</x:v>
      </x:c>
      <x:c r="I313" s="18" t="str">
        <x:v>10181909-1949-0367-0000-d6f424f63198</x:v>
      </x:c>
      <x:c r="J313" s="18" t="str">
        <x:v>No</x:v>
      </x:c>
    </x:row>
    <x:row r="314" ht="34" customHeight="1">
      <x:c r="A314" s="18" t="str">
        <x:v>french-tarot</x:v>
      </x:c>
      <x:c r="B314" s="18" t="str">
        <x:v>french tarot</x:v>
      </x:c>
      <x:c r="C314" s="19" t="str">
        <x:v>n.a.</x:v>
      </x:c>
      <x:c r="D314" s="18" t="str">
        <x:v>No</x:v>
      </x:c>
      <x:c r="E314" s="18" t="str">
        <x:v>n.a.</x:v>
      </x:c>
      <x:c r="F314" s="18" t="str">
        <x:v>Global · sin filtro de idioma</x:v>
      </x:c>
      <x:c r="G314" s="18" t="str">
        <x:v>search_volume</x:v>
      </x:c>
      <x:c r="H314" s="18" t="str">
        <x:v>global-candidates.json</x:v>
      </x:c>
      <x:c r="I314" s="18" t="str">
        <x:v>10181909-1949-0367-0000-d6f424f63198</x:v>
      </x:c>
      <x:c r="J314" s="18" t="str">
        <x:v>No</x:v>
      </x:c>
    </x:row>
    <x:row r="315" ht="34" customHeight="1">
      <x:c r="A315" s="18" t="str">
        <x:v>french-tarot</x:v>
      </x:c>
      <x:c r="B315" s="18" t="str">
        <x:v>jeu de tarot</x:v>
      </x:c>
      <x:c r="C315" s="19" t="str">
        <x:v>n.a.</x:v>
      </x:c>
      <x:c r="D315" s="18" t="str">
        <x:v>No</x:v>
      </x:c>
      <x:c r="E315" s="18" t="str">
        <x:v>n.a.</x:v>
      </x:c>
      <x:c r="F315" s="18" t="str">
        <x:v>Global · sin filtro de idioma</x:v>
      </x:c>
      <x:c r="G315" s="18" t="str">
        <x:v>search_volume</x:v>
      </x:c>
      <x:c r="H315" s="18" t="str">
        <x:v>global-refinement.json</x:v>
      </x:c>
      <x:c r="I315" s="18" t="str">
        <x:v>10181917-1949-0367-0000-6ceea1dc515c</x:v>
      </x:c>
      <x:c r="J315" s="18" t="str">
        <x:v>No</x:v>
      </x:c>
    </x:row>
    <x:row r="316" ht="34" customHeight="1">
      <x:c r="A316" s="18" t="str">
        <x:v>french-tarot</x:v>
      </x:c>
      <x:c r="B316" s="18" t="str">
        <x:v>tarot gratuit</x:v>
      </x:c>
      <x:c r="C316" s="19" t="str">
        <x:v>n.a.</x:v>
      </x:c>
      <x:c r="D316" s="18" t="str">
        <x:v>No</x:v>
      </x:c>
      <x:c r="E316" s="18" t="str">
        <x:v>n.a.</x:v>
      </x:c>
      <x:c r="F316" s="18" t="str">
        <x:v>Global · sin filtro de idioma</x:v>
      </x:c>
      <x:c r="G316" s="18" t="str">
        <x:v>search_volume</x:v>
      </x:c>
      <x:c r="H316" s="18" t="str">
        <x:v>global-refinement.json</x:v>
      </x:c>
      <x:c r="I316" s="18" t="str">
        <x:v>10181917-1949-0367-0000-6ceea1dc515c</x:v>
      </x:c>
      <x:c r="J316" s="18" t="str">
        <x:v>No</x:v>
      </x:c>
    </x:row>
    <x:row r="317" ht="34" customHeight="1">
      <x:c r="A317" s="18" t="str">
        <x:v>preferans</x:v>
      </x:c>
      <x:c r="B317" s="18" t="str">
        <x:v>преферанс</x:v>
      </x:c>
      <x:c r="C317" s="19" t="n">
        <x:v>18100</x:v>
      </x:c>
      <x:c r="D317" s="18" t="str">
        <x:v>Sí</x:v>
      </x:c>
      <x:c r="E317" s="18" t="str">
        <x:v>2025-10 / 2026-09</x:v>
      </x:c>
      <x:c r="F317" s="18" t="str">
        <x:v>Global · sin filtro de idioma</x:v>
      </x:c>
      <x:c r="G317" s="18" t="str">
        <x:v>search_volume</x:v>
      </x:c>
      <x:c r="H317" s="18" t="str">
        <x:v>global-candidates.json</x:v>
      </x:c>
      <x:c r="I317" s="18" t="str">
        <x:v>10181909-1949-0367-0000-d6f424f63198</x:v>
      </x:c>
      <x:c r="J317" s="18" t="str">
        <x:v>No</x:v>
      </x:c>
    </x:row>
    <x:row r="318" ht="34" customHeight="1">
      <x:c r="A318" s="18" t="str">
        <x:v>preferans</x:v>
      </x:c>
      <x:c r="B318" s="18" t="str">
        <x:v>preferans</x:v>
      </x:c>
      <x:c r="C318" s="19" t="n">
        <x:v>2900</x:v>
      </x:c>
      <x:c r="D318" s="18" t="str">
        <x:v>No</x:v>
      </x:c>
      <x:c r="E318" s="18" t="str">
        <x:v>2025-10 / 2026-09</x:v>
      </x:c>
      <x:c r="F318" s="18" t="str">
        <x:v>Global · sin filtro de idioma</x:v>
      </x:c>
      <x:c r="G318" s="18" t="str">
        <x:v>search_volume</x:v>
      </x:c>
      <x:c r="H318" s="18" t="str">
        <x:v>global-candidates.json</x:v>
      </x:c>
      <x:c r="I318" s="18" t="str">
        <x:v>10181909-1949-0367-0000-d6f424f63198</x:v>
      </x:c>
      <x:c r="J318" s="18" t="str">
        <x:v>No</x:v>
      </x:c>
    </x:row>
    <x:row r="319" ht="34" customHeight="1">
      <x:c r="A319" s="18" t="str">
        <x:v>preferans</x:v>
      </x:c>
      <x:c r="B319" s="18" t="str">
        <x:v>преферанс онлайн</x:v>
      </x:c>
      <x:c r="C319" s="19" t="n">
        <x:v>4400</x:v>
      </x:c>
      <x:c r="D319" s="18" t="str">
        <x:v>No</x:v>
      </x:c>
      <x:c r="E319" s="18" t="str">
        <x:v>2025-10 / 2026-09</x:v>
      </x:c>
      <x:c r="F319" s="18" t="str">
        <x:v>Global · sin filtro de idioma</x:v>
      </x:c>
      <x:c r="G319" s="18" t="str">
        <x:v>search_volume</x:v>
      </x:c>
      <x:c r="H319" s="18" t="str">
        <x:v>global-candidates.json</x:v>
      </x:c>
      <x:c r="I319" s="18" t="str">
        <x:v>10181909-1949-0367-0000-d6f424f63198</x:v>
      </x:c>
      <x:c r="J319" s="18" t="str">
        <x:v>No</x:v>
      </x:c>
    </x:row>
    <x:row r="320" ht="34" customHeight="1">
      <x:c r="A320" s="18" t="str">
        <x:v>mahjong-four-player</x:v>
      </x:c>
      <x:c r="B320" s="18" t="str">
        <x:v>麻雀 ゲーム</x:v>
      </x:c>
      <x:c r="C320" s="19" t="n">
        <x:v>368000</x:v>
      </x:c>
      <x:c r="D320" s="18" t="str">
        <x:v>Sí</x:v>
      </x:c>
      <x:c r="E320" s="18" t="str">
        <x:v>2025-10 / 2026-09</x:v>
      </x:c>
      <x:c r="F320" s="18" t="str">
        <x:v>Global · sin filtro de idioma</x:v>
      </x:c>
      <x:c r="G320" s="18" t="str">
        <x:v>search_volume</x:v>
      </x:c>
      <x:c r="H320" s="18" t="str">
        <x:v>global-refinement.json</x:v>
      </x:c>
      <x:c r="I320" s="18" t="str">
        <x:v>10181917-1949-0367-0000-6ceea1dc515c</x:v>
      </x:c>
      <x:c r="J320" s="18" t="str">
        <x:v>No</x:v>
      </x:c>
    </x:row>
    <x:row r="321" ht="34" customHeight="1">
      <x:c r="A321" s="18" t="str">
        <x:v>mahjong-four-player</x:v>
      </x:c>
      <x:c r="B321" s="18" t="str">
        <x:v>riichi mahjong</x:v>
      </x:c>
      <x:c r="C321" s="19" t="n">
        <x:v>12100</x:v>
      </x:c>
      <x:c r="D321" s="18" t="str">
        <x:v>No</x:v>
      </x:c>
      <x:c r="E321" s="18" t="str">
        <x:v>2025-10 / 2026-09</x:v>
      </x:c>
      <x:c r="F321" s="18" t="str">
        <x:v>Global · sin filtro de idioma</x:v>
      </x:c>
      <x:c r="G321" s="18" t="str">
        <x:v>search_volume</x:v>
      </x:c>
      <x:c r="H321" s="18" t="str">
        <x:v>global-refinement.json</x:v>
      </x:c>
      <x:c r="I321" s="18" t="str">
        <x:v>10181917-1949-0367-0000-6ceea1dc515c</x:v>
      </x:c>
      <x:c r="J321" s="18" t="str">
        <x:v>No</x:v>
      </x:c>
    </x:row>
    <x:row r="322" ht="34" customHeight="1">
      <x:c r="A322" s="18" t="str">
        <x:v>mahjong-four-player</x:v>
      </x:c>
      <x:c r="B322" s="18" t="str">
        <x:v>mahjong four player</x:v>
      </x:c>
      <x:c r="C322" s="19" t="n">
        <x:v>880</x:v>
      </x:c>
      <x:c r="D322" s="18" t="str">
        <x:v>No</x:v>
      </x:c>
      <x:c r="E322" s="18" t="str">
        <x:v>2025-10 / 2026-09</x:v>
      </x:c>
      <x:c r="F322" s="18" t="str">
        <x:v>Global · sin filtro de idioma</x:v>
      </x:c>
      <x:c r="G322" s="18" t="str">
        <x:v>search_volume</x:v>
      </x:c>
      <x:c r="H322" s="18" t="str">
        <x:v>global-refinement.json</x:v>
      </x:c>
      <x:c r="I322" s="18" t="str">
        <x:v>10181917-1949-0367-0000-6ceea1dc515c</x:v>
      </x:c>
      <x:c r="J322" s="18" t="str">
        <x:v>No</x:v>
      </x:c>
    </x:row>
    <x:row r="323" ht="34" customHeight="1">
      <x:c r="A323" s="18" t="str">
        <x:v>xiangqi</x:v>
      </x:c>
      <x:c r="B323" s="18" t="str">
        <x:v>xiangqi</x:v>
      </x:c>
      <x:c r="C323" s="19" t="n">
        <x:v>40500</x:v>
      </x:c>
      <x:c r="D323" s="18" t="str">
        <x:v>No</x:v>
      </x:c>
      <x:c r="E323" s="18" t="str">
        <x:v>2025-10 / 2026-09</x:v>
      </x:c>
      <x:c r="F323" s="18" t="str">
        <x:v>Global · sin filtro de idioma</x:v>
      </x:c>
      <x:c r="G323" s="18" t="str">
        <x:v>search_volume</x:v>
      </x:c>
      <x:c r="H323" s="18" t="str">
        <x:v>global-initial-screen.json</x:v>
      </x:c>
      <x:c r="I323" s="18" t="str">
        <x:v>10181645-1949-0367-0000-721aab5cac1a</x:v>
      </x:c>
      <x:c r="J323" s="18" t="str">
        <x:v>No</x:v>
      </x:c>
    </x:row>
    <x:row r="324" ht="34" customHeight="1">
      <x:c r="A324" s="18" t="str">
        <x:v>xiangqi</x:v>
      </x:c>
      <x:c r="B324" s="18" t="str">
        <x:v>象棋</x:v>
      </x:c>
      <x:c r="C324" s="19" t="n">
        <x:v>60500</x:v>
      </x:c>
      <x:c r="D324" s="18" t="str">
        <x:v>Sí</x:v>
      </x:c>
      <x:c r="E324" s="18" t="str">
        <x:v>2025-10 / 2026-09</x:v>
      </x:c>
      <x:c r="F324" s="18" t="str">
        <x:v>Global · sin filtro de idioma</x:v>
      </x:c>
      <x:c r="G324" s="18" t="str">
        <x:v>search_volume</x:v>
      </x:c>
      <x:c r="H324" s="18" t="str">
        <x:v>global-candidates.json</x:v>
      </x:c>
      <x:c r="I324" s="18" t="str">
        <x:v>10181909-1949-0367-0000-d6f424f63198</x:v>
      </x:c>
      <x:c r="J324" s="18" t="str">
        <x:v>No</x:v>
      </x:c>
    </x:row>
    <x:row r="325" ht="34" customHeight="1">
      <x:c r="A325" s="18" t="str">
        <x:v>xiangqi</x:v>
      </x:c>
      <x:c r="B325" s="18" t="str">
        <x:v>中国象棋</x:v>
      </x:c>
      <x:c r="C325" s="19" t="n">
        <x:v>27100</x:v>
      </x:c>
      <x:c r="D325" s="18" t="str">
        <x:v>No</x:v>
      </x:c>
      <x:c r="E325" s="18" t="str">
        <x:v>2025-10 / 2026-09</x:v>
      </x:c>
      <x:c r="F325" s="18" t="str">
        <x:v>Global · sin filtro de idioma</x:v>
      </x:c>
      <x:c r="G325" s="18" t="str">
        <x:v>search_volume</x:v>
      </x:c>
      <x:c r="H325" s="18" t="str">
        <x:v>global-candidates.json</x:v>
      </x:c>
      <x:c r="I325" s="18" t="str">
        <x:v>10181909-1949-0367-0000-d6f424f63198</x:v>
      </x:c>
      <x:c r="J325" s="18" t="str">
        <x:v>No</x:v>
      </x:c>
    </x:row>
    <x:row r="326" ht="34" customHeight="1">
      <x:c r="A326" s="18" t="str">
        <x:v>shogi</x:v>
      </x:c>
      <x:c r="B326" s="18" t="str">
        <x:v>shogi</x:v>
      </x:c>
      <x:c r="C326" s="19" t="n">
        <x:v>74000</x:v>
      </x:c>
      <x:c r="D326" s="18" t="str">
        <x:v>No</x:v>
      </x:c>
      <x:c r="E326" s="18" t="str">
        <x:v>2025-10 / 2026-09</x:v>
      </x:c>
      <x:c r="F326" s="18" t="str">
        <x:v>Global · sin filtro de idioma</x:v>
      </x:c>
      <x:c r="G326" s="18" t="str">
        <x:v>search_volume</x:v>
      </x:c>
      <x:c r="H326" s="18" t="str">
        <x:v>global-initial-screen.json</x:v>
      </x:c>
      <x:c r="I326" s="18" t="str">
        <x:v>10181645-1949-0367-0000-721aab5cac1a</x:v>
      </x:c>
      <x:c r="J326" s="18" t="str">
        <x:v>No</x:v>
      </x:c>
    </x:row>
    <x:row r="327" ht="34" customHeight="1">
      <x:c r="A327" s="18" t="str">
        <x:v>shogi</x:v>
      </x:c>
      <x:c r="B327" s="18" t="str">
        <x:v>将棋</x:v>
      </x:c>
      <x:c r="C327" s="19" t="n">
        <x:v>368000</x:v>
      </x:c>
      <x:c r="D327" s="18" t="str">
        <x:v>Sí</x:v>
      </x:c>
      <x:c r="E327" s="18" t="str">
        <x:v>2025-10 / 2026-09</x:v>
      </x:c>
      <x:c r="F327" s="18" t="str">
        <x:v>Global · sin filtro de idioma</x:v>
      </x:c>
      <x:c r="G327" s="18" t="str">
        <x:v>search_volume</x:v>
      </x:c>
      <x:c r="H327" s="18" t="str">
        <x:v>global-candidates.json</x:v>
      </x:c>
      <x:c r="I327" s="18" t="str">
        <x:v>10181909-1949-0367-0000-d6f424f63198</x:v>
      </x:c>
      <x:c r="J327" s="18" t="str">
        <x:v>No</x:v>
      </x:c>
    </x:row>
    <x:row r="328" ht="34" customHeight="1">
      <x:c r="A328" s="18" t="str">
        <x:v>shogi</x:v>
      </x:c>
      <x:c r="B328" s="18" t="str">
        <x:v>shogi online</x:v>
      </x:c>
      <x:c r="C328" s="19" t="n">
        <x:v>5400</x:v>
      </x:c>
      <x:c r="D328" s="18" t="str">
        <x:v>No</x:v>
      </x:c>
      <x:c r="E328" s="18" t="str">
        <x:v>2025-10 / 2026-09</x:v>
      </x:c>
      <x:c r="F328" s="18" t="str">
        <x:v>Global · sin filtro de idioma</x:v>
      </x:c>
      <x:c r="G328" s="18" t="str">
        <x:v>search_volume</x:v>
      </x:c>
      <x:c r="H328" s="18" t="str">
        <x:v>global-candidates.json</x:v>
      </x:c>
      <x:c r="I328" s="18" t="str">
        <x:v>10181909-1949-0367-0000-d6f424f63198</x:v>
      </x:c>
      <x:c r="J328" s="18" t="str">
        <x:v>No</x:v>
      </x:c>
    </x:row>
    <x:row r="329" ht="34" customHeight="1">
      <x:c r="A329" s="18" t="str">
        <x:v>janggi</x:v>
      </x:c>
      <x:c r="B329" s="18" t="str">
        <x:v>janggi</x:v>
      </x:c>
      <x:c r="C329" s="19" t="n">
        <x:v>2900</x:v>
      </x:c>
      <x:c r="D329" s="18" t="str">
        <x:v>No</x:v>
      </x:c>
      <x:c r="E329" s="18" t="str">
        <x:v>2025-10 / 2026-09</x:v>
      </x:c>
      <x:c r="F329" s="18" t="str">
        <x:v>Global · sin filtro de idioma</x:v>
      </x:c>
      <x:c r="G329" s="18" t="str">
        <x:v>search_volume</x:v>
      </x:c>
      <x:c r="H329" s="18" t="str">
        <x:v>global-candidates.json</x:v>
      </x:c>
      <x:c r="I329" s="18" t="str">
        <x:v>10181909-1949-0367-0000-d6f424f63198</x:v>
      </x:c>
      <x:c r="J329" s="18" t="str">
        <x:v>No</x:v>
      </x:c>
    </x:row>
    <x:row r="330" ht="34" customHeight="1">
      <x:c r="A330" s="18" t="str">
        <x:v>janggi</x:v>
      </x:c>
      <x:c r="B330" s="18" t="str">
        <x:v>장기</x:v>
      </x:c>
      <x:c r="C330" s="19" t="n">
        <x:v>27100</x:v>
      </x:c>
      <x:c r="D330" s="18" t="str">
        <x:v>Sí</x:v>
      </x:c>
      <x:c r="E330" s="18" t="str">
        <x:v>2025-10 / 2026-09</x:v>
      </x:c>
      <x:c r="F330" s="18" t="str">
        <x:v>Global · sin filtro de idioma</x:v>
      </x:c>
      <x:c r="G330" s="18" t="str">
        <x:v>search_volume</x:v>
      </x:c>
      <x:c r="H330" s="18" t="str">
        <x:v>global-candidates.json</x:v>
      </x:c>
      <x:c r="I330" s="18" t="str">
        <x:v>10181909-1949-0367-0000-d6f424f63198</x:v>
      </x:c>
      <x:c r="J330" s="18" t="str">
        <x:v>No</x:v>
      </x:c>
    </x:row>
    <x:row r="331" ht="34" customHeight="1">
      <x:c r="A331" s="18" t="str">
        <x:v>janggi</x:v>
      </x:c>
      <x:c r="B331" s="18" t="str">
        <x:v>장기 게임</x:v>
      </x:c>
      <x:c r="C331" s="19" t="n">
        <x:v>5400</x:v>
      </x:c>
      <x:c r="D331" s="18" t="str">
        <x:v>No</x:v>
      </x:c>
      <x:c r="E331" s="18" t="str">
        <x:v>2025-10 / 2026-09</x:v>
      </x:c>
      <x:c r="F331" s="18" t="str">
        <x:v>Global · sin filtro de idioma</x:v>
      </x:c>
      <x:c r="G331" s="18" t="str">
        <x:v>search_volume</x:v>
      </x:c>
      <x:c r="H331" s="18" t="str">
        <x:v>global-candidates.json</x:v>
      </x:c>
      <x:c r="I331" s="18" t="str">
        <x:v>10181909-1949-0367-0000-d6f424f63198</x:v>
      </x:c>
      <x:c r="J331" s="18" t="str">
        <x:v>No</x:v>
      </x:c>
    </x:row>
    <x:row r="332" ht="34" customHeight="1">
      <x:c r="A332" s="18" t="str">
        <x:v>makruk</x:v>
      </x:c>
      <x:c r="B332" s="18" t="str">
        <x:v>makruk</x:v>
      </x:c>
      <x:c r="C332" s="19" t="n">
        <x:v>8100</x:v>
      </x:c>
      <x:c r="D332" s="18" t="str">
        <x:v>No</x:v>
      </x:c>
      <x:c r="E332" s="18" t="str">
        <x:v>2025-10 / 2026-09</x:v>
      </x:c>
      <x:c r="F332" s="18" t="str">
        <x:v>Global · sin filtro de idioma</x:v>
      </x:c>
      <x:c r="G332" s="18" t="str">
        <x:v>search_volume</x:v>
      </x:c>
      <x:c r="H332" s="18" t="str">
        <x:v>global-candidates.json</x:v>
      </x:c>
      <x:c r="I332" s="18" t="str">
        <x:v>10181909-1949-0367-0000-d6f424f63198</x:v>
      </x:c>
      <x:c r="J332" s="18" t="str">
        <x:v>No</x:v>
      </x:c>
    </x:row>
    <x:row r="333" ht="34" customHeight="1">
      <x:c r="A333" s="18" t="str">
        <x:v>makruk</x:v>
      </x:c>
      <x:c r="B333" s="18" t="str">
        <x:v>หมากรุกไทย</x:v>
      </x:c>
      <x:c r="C333" s="19" t="n">
        <x:v>165000</x:v>
      </x:c>
      <x:c r="D333" s="18" t="str">
        <x:v>Sí</x:v>
      </x:c>
      <x:c r="E333" s="18" t="str">
        <x:v>2025-10 / 2026-09</x:v>
      </x:c>
      <x:c r="F333" s="18" t="str">
        <x:v>Global · sin filtro de idioma</x:v>
      </x:c>
      <x:c r="G333" s="18" t="str">
        <x:v>search_volume</x:v>
      </x:c>
      <x:c r="H333" s="18" t="str">
        <x:v>global-candidates.json</x:v>
      </x:c>
      <x:c r="I333" s="18" t="str">
        <x:v>10181909-1949-0367-0000-d6f424f63198</x:v>
      </x:c>
      <x:c r="J333" s="18" t="str">
        <x:v>No</x:v>
      </x:c>
    </x:row>
    <x:row r="334" ht="34" customHeight="1">
      <x:c r="A334" s="18" t="str">
        <x:v>makruk</x:v>
      </x:c>
      <x:c r="B334" s="18" t="str">
        <x:v>thai chess</x:v>
      </x:c>
      <x:c r="C334" s="19" t="n">
        <x:v>2900</x:v>
      </x:c>
      <x:c r="D334" s="18" t="str">
        <x:v>No</x:v>
      </x:c>
      <x:c r="E334" s="18" t="str">
        <x:v>2025-10 / 2026-09</x:v>
      </x:c>
      <x:c r="F334" s="18" t="str">
        <x:v>Global · sin filtro de idioma</x:v>
      </x:c>
      <x:c r="G334" s="18" t="str">
        <x:v>search_volume</x:v>
      </x:c>
      <x:c r="H334" s="18" t="str">
        <x:v>global-candidates.json</x:v>
      </x:c>
      <x:c r="I334" s="18" t="str">
        <x:v>10181909-1949-0367-0000-d6f424f63198</x:v>
      </x:c>
      <x:c r="J334" s="18" t="str">
        <x:v>No</x:v>
      </x:c>
    </x:row>
    <x:row r="335" ht="34" customHeight="1">
      <x:c r="A335" s="18" t="str">
        <x:v>chinese-checkers</x:v>
      </x:c>
      <x:c r="B335" s="18" t="str">
        <x:v>chinese checkers</x:v>
      </x:c>
      <x:c r="C335" s="19" t="n">
        <x:v>60500</x:v>
      </x:c>
      <x:c r="D335" s="18" t="str">
        <x:v>Sí</x:v>
      </x:c>
      <x:c r="E335" s="18" t="str">
        <x:v>2025-10 / 2026-09</x:v>
      </x:c>
      <x:c r="F335" s="18" t="str">
        <x:v>Global · sin filtro de idioma</x:v>
      </x:c>
      <x:c r="G335" s="18" t="str">
        <x:v>search_volume</x:v>
      </x:c>
      <x:c r="H335" s="18" t="str">
        <x:v>global-initial-screen.json</x:v>
      </x:c>
      <x:c r="I335" s="18" t="str">
        <x:v>10181645-1949-0367-0000-721aab5cac1a</x:v>
      </x:c>
      <x:c r="J335" s="18" t="str">
        <x:v>No</x:v>
      </x:c>
    </x:row>
    <x:row r="336" ht="34" customHeight="1">
      <x:c r="A336" s="18" t="str">
        <x:v>chinese-checkers</x:v>
      </x:c>
      <x:c r="B336" s="18" t="str">
        <x:v>damas chinas</x:v>
      </x:c>
      <x:c r="C336" s="19" t="str">
        <x:v>n.a.</x:v>
      </x:c>
      <x:c r="D336" s="18" t="str">
        <x:v>No</x:v>
      </x:c>
      <x:c r="E336" s="18" t="str">
        <x:v>n.a.</x:v>
      </x:c>
      <x:c r="F336" s="18" t="str">
        <x:v>Global · sin filtro de idioma</x:v>
      </x:c>
      <x:c r="G336" s="18" t="str">
        <x:v>search_volume</x:v>
      </x:c>
      <x:c r="H336" s="18" t="str">
        <x:v>global-candidates.json</x:v>
      </x:c>
      <x:c r="I336" s="18" t="str">
        <x:v>10181909-1949-0367-0000-d6f424f63198</x:v>
      </x:c>
      <x:c r="J336" s="18" t="str">
        <x:v>No</x:v>
      </x:c>
    </x:row>
    <x:row r="337" ht="34" customHeight="1">
      <x:c r="A337" s="18" t="str">
        <x:v>chinese-checkers</x:v>
      </x:c>
      <x:c r="B337" s="18" t="str">
        <x:v>halma</x:v>
      </x:c>
      <x:c r="C337" s="19" t="n">
        <x:v>27100</x:v>
      </x:c>
      <x:c r="D337" s="18" t="str">
        <x:v>No</x:v>
      </x:c>
      <x:c r="E337" s="18" t="str">
        <x:v>2025-10 / 2026-09</x:v>
      </x:c>
      <x:c r="F337" s="18" t="str">
        <x:v>Global · sin filtro de idioma</x:v>
      </x:c>
      <x:c r="G337" s="18" t="str">
        <x:v>search_volume</x:v>
      </x:c>
      <x:c r="H337" s="18" t="str">
        <x:v>global-candidates.json</x:v>
      </x:c>
      <x:c r="I337" s="18" t="str">
        <x:v>10181909-1949-0367-0000-d6f424f63198</x:v>
      </x:c>
      <x:c r="J337" s="18" t="str">
        <x:v>No</x:v>
      </x:c>
    </x:row>
    <x:row r="338" ht="34" customHeight="1">
      <x:c r="A338" s="18" t="str">
        <x:v>carrom</x:v>
      </x:c>
      <x:c r="B338" s="18" t="str">
        <x:v>carrom game</x:v>
      </x:c>
      <x:c r="C338" s="19" t="n">
        <x:v>40500</x:v>
      </x:c>
      <x:c r="D338" s="18" t="str">
        <x:v>Sí</x:v>
      </x:c>
      <x:c r="E338" s="18" t="str">
        <x:v>2025-10 / 2026-09</x:v>
      </x:c>
      <x:c r="F338" s="18" t="str">
        <x:v>Global · sin filtro de idioma</x:v>
      </x:c>
      <x:c r="G338" s="18" t="str">
        <x:v>search_volume</x:v>
      </x:c>
      <x:c r="H338" s="18" t="str">
        <x:v>global-candidates.json</x:v>
      </x:c>
      <x:c r="I338" s="18" t="str">
        <x:v>10181909-1949-0367-0000-d6f424f63198</x:v>
      </x:c>
      <x:c r="J338" s="18" t="str">
        <x:v>No</x:v>
      </x:c>
    </x:row>
    <x:row r="339" ht="34" customHeight="1">
      <x:c r="A339" s="18" t="str">
        <x:v>carrom</x:v>
      </x:c>
      <x:c r="B339" s="18" t="str">
        <x:v>carrom game online</x:v>
      </x:c>
      <x:c r="C339" s="19" t="n">
        <x:v>33100</x:v>
      </x:c>
      <x:c r="D339" s="18" t="str">
        <x:v>No</x:v>
      </x:c>
      <x:c r="E339" s="18" t="str">
        <x:v>2025-10 / 2026-09</x:v>
      </x:c>
      <x:c r="F339" s="18" t="str">
        <x:v>Global · sin filtro de idioma</x:v>
      </x:c>
      <x:c r="G339" s="18" t="str">
        <x:v>search_volume</x:v>
      </x:c>
      <x:c r="H339" s="18" t="str">
        <x:v>global-refinement.json</x:v>
      </x:c>
      <x:c r="I339" s="18" t="str">
        <x:v>10181917-1949-0367-0000-6ceea1dc515c</x:v>
      </x:c>
      <x:c r="J339" s="18" t="str">
        <x:v>No</x:v>
      </x:c>
    </x:row>
    <x:row r="340" ht="34" customHeight="1">
      <x:c r="A340" s="18" t="str">
        <x:v>crokinole</x:v>
      </x:c>
      <x:c r="B340" s="18" t="str">
        <x:v>crokinole</x:v>
      </x:c>
      <x:c r="C340" s="19" t="n">
        <x:v>40500</x:v>
      </x:c>
      <x:c r="D340" s="18" t="str">
        <x:v>Sí</x:v>
      </x:c>
      <x:c r="E340" s="18" t="str">
        <x:v>2025-10 / 2026-09</x:v>
      </x:c>
      <x:c r="F340" s="18" t="str">
        <x:v>Global · sin filtro de idioma</x:v>
      </x:c>
      <x:c r="G340" s="18" t="str">
        <x:v>search_volume</x:v>
      </x:c>
      <x:c r="H340" s="18" t="str">
        <x:v>global-initial-screen.json</x:v>
      </x:c>
      <x:c r="I340" s="18" t="str">
        <x:v>10181645-1949-0367-0000-721aab5cac1a</x:v>
      </x:c>
      <x:c r="J340" s="18" t="str">
        <x:v>No</x:v>
      </x:c>
    </x:row>
    <x:row r="341" ht="34" customHeight="1">
      <x:c r="A341" s="18" t="str">
        <x:v>crokinole</x:v>
      </x:c>
      <x:c r="B341" s="18" t="str">
        <x:v>crokinole game</x:v>
      </x:c>
      <x:c r="C341" s="19" t="n">
        <x:v>2900</x:v>
      </x:c>
      <x:c r="D341" s="18" t="str">
        <x:v>No</x:v>
      </x:c>
      <x:c r="E341" s="18" t="str">
        <x:v>2025-10 / 2026-09</x:v>
      </x:c>
      <x:c r="F341" s="18" t="str">
        <x:v>Global · sin filtro de idioma</x:v>
      </x:c>
      <x:c r="G341" s="18" t="str">
        <x:v>search_volume</x:v>
      </x:c>
      <x:c r="H341" s="18" t="str">
        <x:v>global-candidates.json</x:v>
      </x:c>
      <x:c r="I341" s="18" t="str">
        <x:v>10181909-1949-0367-0000-d6f424f63198</x:v>
      </x:c>
      <x:c r="J341" s="18" t="str">
        <x:v>No</x:v>
      </x:c>
    </x:row>
    <x:row r="342" ht="34" customHeight="1">
      <x:c r="A342" s="18" t="str">
        <x:v>crokinole</x:v>
      </x:c>
      <x:c r="B342" s="18" t="str">
        <x:v>crokinole online</x:v>
      </x:c>
      <x:c r="C342" s="19" t="n">
        <x:v>110</x:v>
      </x:c>
      <x:c r="D342" s="18" t="str">
        <x:v>No</x:v>
      </x:c>
      <x:c r="E342" s="18" t="str">
        <x:v>2025-10 / 2026-09</x:v>
      </x:c>
      <x:c r="F342" s="18" t="str">
        <x:v>Global · sin filtro de idioma</x:v>
      </x:c>
      <x:c r="G342" s="18" t="str">
        <x:v>search_volume</x:v>
      </x:c>
      <x:c r="H342" s="18" t="str">
        <x:v>global-candidates.json</x:v>
      </x:c>
      <x:c r="I342" s="18" t="str">
        <x:v>10181909-1949-0367-0000-d6f424f63198</x:v>
      </x:c>
      <x:c r="J342" s="18" t="str">
        <x:v>No</x:v>
      </x:c>
    </x:row>
    <x:row r="343" ht="34" customHeight="1">
      <x:c r="A343" s="18" t="str">
        <x:v>fanorona</x:v>
      </x:c>
      <x:c r="B343" s="18" t="str">
        <x:v>fanorona</x:v>
      </x:c>
      <x:c r="C343" s="19" t="n">
        <x:v>5400</x:v>
      </x:c>
      <x:c r="D343" s="18" t="str">
        <x:v>Sí</x:v>
      </x:c>
      <x:c r="E343" s="18" t="str">
        <x:v>2025-10 / 2026-09</x:v>
      </x:c>
      <x:c r="F343" s="18" t="str">
        <x:v>Global · sin filtro de idioma</x:v>
      </x:c>
      <x:c r="G343" s="18" t="str">
        <x:v>search_volume</x:v>
      </x:c>
      <x:c r="H343" s="18" t="str">
        <x:v>global-candidates.json</x:v>
      </x:c>
      <x:c r="I343" s="18" t="str">
        <x:v>10181909-1949-0367-0000-d6f424f63198</x:v>
      </x:c>
      <x:c r="J343" s="18" t="str">
        <x:v>No</x:v>
      </x:c>
    </x:row>
    <x:row r="344" ht="34" customHeight="1">
      <x:c r="A344" s="18" t="str">
        <x:v>fanorona</x:v>
      </x:c>
      <x:c r="B344" s="18" t="str">
        <x:v>fanorona game</x:v>
      </x:c>
      <x:c r="C344" s="19" t="n">
        <x:v>320</x:v>
      </x:c>
      <x:c r="D344" s="18" t="str">
        <x:v>No</x:v>
      </x:c>
      <x:c r="E344" s="18" t="str">
        <x:v>2025-10 / 2026-09</x:v>
      </x:c>
      <x:c r="F344" s="18" t="str">
        <x:v>Global · sin filtro de idioma</x:v>
      </x:c>
      <x:c r="G344" s="18" t="str">
        <x:v>search_volume</x:v>
      </x:c>
      <x:c r="H344" s="18" t="str">
        <x:v>global-candidates.json</x:v>
      </x:c>
      <x:c r="I344" s="18" t="str">
        <x:v>10181909-1949-0367-0000-d6f424f63198</x:v>
      </x:c>
      <x:c r="J344" s="18" t="str">
        <x:v>No</x:v>
      </x:c>
    </x:row>
    <x:row r="345" ht="34" customHeight="1">
      <x:c r="A345" s="18" t="str">
        <x:v>fanorona</x:v>
      </x:c>
      <x:c r="B345" s="18" t="str">
        <x:v>fanorona online</x:v>
      </x:c>
      <x:c r="C345" s="19" t="n">
        <x:v>390</x:v>
      </x:c>
      <x:c r="D345" s="18" t="str">
        <x:v>No</x:v>
      </x:c>
      <x:c r="E345" s="18" t="str">
        <x:v>2025-10 / 2026-09</x:v>
      </x:c>
      <x:c r="F345" s="18" t="str">
        <x:v>Global · sin filtro de idioma</x:v>
      </x:c>
      <x:c r="G345" s="18" t="str">
        <x:v>search_volume</x:v>
      </x:c>
      <x:c r="H345" s="18" t="str">
        <x:v>global-candidates.json</x:v>
      </x:c>
      <x:c r="I345" s="18" t="str">
        <x:v>10181909-1949-0367-0000-d6f424f63198</x:v>
      </x:c>
      <x:c r="J345" s="18" t="str">
        <x:v>No</x:v>
      </x:c>
    </x:row>
    <x:row r="346" ht="34" customHeight="1">
      <x:c r="A346" s="18" t="str">
        <x:v>nine-mens-morris</x:v>
      </x:c>
      <x:c r="B346" s="18" t="str">
        <x:v>nine mens morris</x:v>
      </x:c>
      <x:c r="C346" s="19" t="n">
        <x:v>18100</x:v>
      </x:c>
      <x:c r="D346" s="18" t="str">
        <x:v>Sí</x:v>
      </x:c>
      <x:c r="E346" s="18" t="str">
        <x:v>2025-10 / 2026-09</x:v>
      </x:c>
      <x:c r="F346" s="18" t="str">
        <x:v>Global · sin filtro de idioma</x:v>
      </x:c>
      <x:c r="G346" s="18" t="str">
        <x:v>search_volume</x:v>
      </x:c>
      <x:c r="H346" s="18" t="str">
        <x:v>global-candidates.json</x:v>
      </x:c>
      <x:c r="I346" s="18" t="str">
        <x:v>10181909-1949-0367-0000-d6f424f63198</x:v>
      </x:c>
      <x:c r="J346" s="18" t="str">
        <x:v>No</x:v>
      </x:c>
    </x:row>
    <x:row r="347" ht="34" customHeight="1">
      <x:c r="A347" s="18" t="str">
        <x:v>nine-mens-morris</x:v>
      </x:c>
      <x:c r="B347" s="18" t="str">
        <x:v>mühle spiel</x:v>
      </x:c>
      <x:c r="C347" s="19" t="n">
        <x:v>12100</x:v>
      </x:c>
      <x:c r="D347" s="18" t="str">
        <x:v>No</x:v>
      </x:c>
      <x:c r="E347" s="18" t="str">
        <x:v>2025-10 / 2026-09</x:v>
      </x:c>
      <x:c r="F347" s="18" t="str">
        <x:v>Global · sin filtro de idioma</x:v>
      </x:c>
      <x:c r="G347" s="18" t="str">
        <x:v>search_volume</x:v>
      </x:c>
      <x:c r="H347" s="18" t="str">
        <x:v>global-candidates.json</x:v>
      </x:c>
      <x:c r="I347" s="18" t="str">
        <x:v>10181909-1949-0367-0000-d6f424f63198</x:v>
      </x:c>
      <x:c r="J347" s="18" t="str">
        <x:v>No</x:v>
      </x:c>
    </x:row>
    <x:row r="348" ht="34" customHeight="1">
      <x:c r="A348" s="18" t="str">
        <x:v>nine-mens-morris</x:v>
      </x:c>
      <x:c r="B348" s="18" t="str">
        <x:v>juego del molino</x:v>
      </x:c>
      <x:c r="C348" s="19" t="n">
        <x:v>880</x:v>
      </x:c>
      <x:c r="D348" s="18" t="str">
        <x:v>No</x:v>
      </x:c>
      <x:c r="E348" s="18" t="str">
        <x:v>2025-10 / 2026-09</x:v>
      </x:c>
      <x:c r="F348" s="18" t="str">
        <x:v>Global · sin filtro de idioma</x:v>
      </x:c>
      <x:c r="G348" s="18" t="str">
        <x:v>search_volume</x:v>
      </x:c>
      <x:c r="H348" s="18" t="str">
        <x:v>global-candidates.json</x:v>
      </x:c>
      <x:c r="I348" s="18" t="str">
        <x:v>10181909-1949-0367-0000-d6f424f63198</x:v>
      </x:c>
      <x:c r="J348" s="18" t="str">
        <x:v>No</x:v>
      </x:c>
    </x:row>
    <x:row r="349" ht="34" customHeight="1">
      <x:c r="A349" s="18" t="str">
        <x:v>hnefatafl</x:v>
      </x:c>
      <x:c r="B349" s="18" t="str">
        <x:v>hnefatafl</x:v>
      </x:c>
      <x:c r="C349" s="19" t="n">
        <x:v>14800</x:v>
      </x:c>
      <x:c r="D349" s="18" t="str">
        <x:v>Sí</x:v>
      </x:c>
      <x:c r="E349" s="18" t="str">
        <x:v>2025-10 / 2026-09</x:v>
      </x:c>
      <x:c r="F349" s="18" t="str">
        <x:v>Global · sin filtro de idioma</x:v>
      </x:c>
      <x:c r="G349" s="18" t="str">
        <x:v>search_volume</x:v>
      </x:c>
      <x:c r="H349" s="18" t="str">
        <x:v>global-candidates.json</x:v>
      </x:c>
      <x:c r="I349" s="18" t="str">
        <x:v>10181909-1949-0367-0000-d6f424f63198</x:v>
      </x:c>
      <x:c r="J349" s="18" t="str">
        <x:v>No</x:v>
      </x:c>
    </x:row>
    <x:row r="350" ht="34" customHeight="1">
      <x:c r="A350" s="18" t="str">
        <x:v>hnefatafl</x:v>
      </x:c>
      <x:c r="B350" s="18" t="str">
        <x:v>tafl</x:v>
      </x:c>
      <x:c r="C350" s="19" t="n">
        <x:v>2400</x:v>
      </x:c>
      <x:c r="D350" s="18" t="str">
        <x:v>No</x:v>
      </x:c>
      <x:c r="E350" s="18" t="str">
        <x:v>2025-10 / 2026-09</x:v>
      </x:c>
      <x:c r="F350" s="18" t="str">
        <x:v>Global · sin filtro de idioma</x:v>
      </x:c>
      <x:c r="G350" s="18" t="str">
        <x:v>search_volume</x:v>
      </x:c>
      <x:c r="H350" s="18" t="str">
        <x:v>global-candidates.json</x:v>
      </x:c>
      <x:c r="I350" s="18" t="str">
        <x:v>10181909-1949-0367-0000-d6f424f63198</x:v>
      </x:c>
      <x:c r="J350" s="18" t="str">
        <x:v>No</x:v>
      </x:c>
    </x:row>
    <x:row r="351" ht="34" customHeight="1">
      <x:c r="A351" s="18" t="str">
        <x:v>hnefatafl</x:v>
      </x:c>
      <x:c r="B351" s="18" t="str">
        <x:v>hnefatafl online</x:v>
      </x:c>
      <x:c r="C351" s="19" t="n">
        <x:v>1000</x:v>
      </x:c>
      <x:c r="D351" s="18" t="str">
        <x:v>No</x:v>
      </x:c>
      <x:c r="E351" s="18" t="str">
        <x:v>2025-10 / 2026-09</x:v>
      </x:c>
      <x:c r="F351" s="18" t="str">
        <x:v>Global · sin filtro de idioma</x:v>
      </x:c>
      <x:c r="G351" s="18" t="str">
        <x:v>search_volume</x:v>
      </x:c>
      <x:c r="H351" s="18" t="str">
        <x:v>global-candidates.json</x:v>
      </x:c>
      <x:c r="I351" s="18" t="str">
        <x:v>10181909-1949-0367-0000-d6f424f63198</x:v>
      </x:c>
      <x:c r="J351" s="18" t="str">
        <x:v>No</x:v>
      </x:c>
    </x:row>
    <x:row r="352" ht="34" customHeight="1">
      <x:c r="A352" s="18" t="str">
        <x:v>hex-game</x:v>
      </x:c>
      <x:c r="B352" s="18" t="str">
        <x:v>hex game</x:v>
      </x:c>
      <x:c r="C352" s="19" t="n">
        <x:v>18100</x:v>
      </x:c>
      <x:c r="D352" s="18" t="str">
        <x:v>Sí</x:v>
      </x:c>
      <x:c r="E352" s="18" t="str">
        <x:v>2025-10 / 2026-09</x:v>
      </x:c>
      <x:c r="F352" s="18" t="str">
        <x:v>Global · sin filtro de idioma</x:v>
      </x:c>
      <x:c r="G352" s="18" t="str">
        <x:v>search_volume</x:v>
      </x:c>
      <x:c r="H352" s="18" t="str">
        <x:v>global-candidates.json</x:v>
      </x:c>
      <x:c r="I352" s="18" t="str">
        <x:v>10181909-1949-0367-0000-d6f424f63198</x:v>
      </x:c>
      <x:c r="J352" s="18" t="str">
        <x:v>No</x:v>
      </x:c>
    </x:row>
    <x:row r="353" ht="34" customHeight="1">
      <x:c r="A353" s="18" t="str">
        <x:v>hex-game</x:v>
      </x:c>
      <x:c r="B353" s="18" t="str">
        <x:v>hex online</x:v>
      </x:c>
      <x:c r="C353" s="19" t="n">
        <x:v>1600</x:v>
      </x:c>
      <x:c r="D353" s="18" t="str">
        <x:v>No</x:v>
      </x:c>
      <x:c r="E353" s="18" t="str">
        <x:v>2025-10 / 2026-09</x:v>
      </x:c>
      <x:c r="F353" s="18" t="str">
        <x:v>Global · sin filtro de idioma</x:v>
      </x:c>
      <x:c r="G353" s="18" t="str">
        <x:v>search_volume</x:v>
      </x:c>
      <x:c r="H353" s="18" t="str">
        <x:v>global-candidates.json</x:v>
      </x:c>
      <x:c r="I353" s="18" t="str">
        <x:v>10181909-1949-0367-0000-d6f424f63198</x:v>
      </x:c>
      <x:c r="J353" s="18" t="str">
        <x:v>No</x:v>
      </x:c>
    </x:row>
    <x:row r="354" ht="34" customHeight="1">
      <x:c r="A354" s="18" t="str">
        <x:v>hex-game</x:v>
      </x:c>
      <x:c r="B354" s="18" t="str">
        <x:v>play hex</x:v>
      </x:c>
      <x:c r="C354" s="19" t="n">
        <x:v>480</x:v>
      </x:c>
      <x:c r="D354" s="18" t="str">
        <x:v>No</x:v>
      </x:c>
      <x:c r="E354" s="18" t="str">
        <x:v>2025-10 / 2026-09</x:v>
      </x:c>
      <x:c r="F354" s="18" t="str">
        <x:v>Global · sin filtro de idioma</x:v>
      </x:c>
      <x:c r="G354" s="18" t="str">
        <x:v>search_volume</x:v>
      </x:c>
      <x:c r="H354" s="18" t="str">
        <x:v>global-candidates.json</x:v>
      </x:c>
      <x:c r="I354" s="18" t="str">
        <x:v>10181909-1949-0367-0000-d6f424f63198</x:v>
      </x:c>
      <x:c r="J354" s="18" t="str">
        <x:v>No</x:v>
      </x:c>
    </x:row>
    <x:row r="355" ht="34" customHeight="1">
      <x:c r="A355" s="18" t="str">
        <x:v>amazons-game</x:v>
      </x:c>
      <x:c r="B355" s="18" t="str">
        <x:v>game of the amazons</x:v>
      </x:c>
      <x:c r="C355" s="19" t="n">
        <x:v>90</x:v>
      </x:c>
      <x:c r="D355" s="18" t="str">
        <x:v>No</x:v>
      </x:c>
      <x:c r="E355" s="18" t="str">
        <x:v>2025-10 / 2026-09</x:v>
      </x:c>
      <x:c r="F355" s="18" t="str">
        <x:v>Global · sin filtro de idioma</x:v>
      </x:c>
      <x:c r="G355" s="18" t="str">
        <x:v>search_volume</x:v>
      </x:c>
      <x:c r="H355" s="18" t="str">
        <x:v>global-candidates.json</x:v>
      </x:c>
      <x:c r="I355" s="18" t="str">
        <x:v>10181909-1949-0367-0000-d6f424f63198</x:v>
      </x:c>
      <x:c r="J355" s="18" t="str">
        <x:v>No</x:v>
      </x:c>
    </x:row>
    <x:row r="356" ht="34" customHeight="1">
      <x:c r="A356" s="18" t="str">
        <x:v>amazons-game</x:v>
      </x:c>
      <x:c r="B356" s="18" t="str">
        <x:v>amazons board game</x:v>
      </x:c>
      <x:c r="C356" s="19" t="n">
        <x:v>50</x:v>
      </x:c>
      <x:c r="D356" s="18" t="str">
        <x:v>No</x:v>
      </x:c>
      <x:c r="E356" s="18" t="str">
        <x:v>2025-10 / 2026-09</x:v>
      </x:c>
      <x:c r="F356" s="18" t="str">
        <x:v>Global · sin filtro de idioma</x:v>
      </x:c>
      <x:c r="G356" s="18" t="str">
        <x:v>search_volume</x:v>
      </x:c>
      <x:c r="H356" s="18" t="str">
        <x:v>global-candidates.json</x:v>
      </x:c>
      <x:c r="I356" s="18" t="str">
        <x:v>10181909-1949-0367-0000-d6f424f63198</x:v>
      </x:c>
      <x:c r="J356" s="18" t="str">
        <x:v>No</x:v>
      </x:c>
    </x:row>
    <x:row r="357" ht="34" customHeight="1">
      <x:c r="A357" s="18" t="str">
        <x:v>amazons-game</x:v>
      </x:c>
      <x:c r="B357" s="18" t="str">
        <x:v>juego amazonas</x:v>
      </x:c>
      <x:c r="C357" s="19" t="n">
        <x:v>1900</x:v>
      </x:c>
      <x:c r="D357" s="18" t="str">
        <x:v>Sí</x:v>
      </x:c>
      <x:c r="E357" s="18" t="str">
        <x:v>2025-10 / 2026-09</x:v>
      </x:c>
      <x:c r="F357" s="18" t="str">
        <x:v>Global · sin filtro de idioma</x:v>
      </x:c>
      <x:c r="G357" s="18" t="str">
        <x:v>search_volume</x:v>
      </x:c>
      <x:c r="H357" s="18" t="str">
        <x:v>global-candidates.json</x:v>
      </x:c>
      <x:c r="I357" s="18" t="str">
        <x:v>10181909-1949-0367-0000-d6f424f63198</x:v>
      </x:c>
      <x:c r="J357" s="18" t="str">
        <x:v>No</x:v>
      </x:c>
    </x:row>
    <x:row r="358" ht="34" customHeight="1">
      <x:c r="A358" s="18" t="str">
        <x:v>lines-of-action</x:v>
      </x:c>
      <x:c r="B358" s="18" t="str">
        <x:v>lines of action</x:v>
      </x:c>
      <x:c r="C358" s="19" t="n">
        <x:v>110000</x:v>
      </x:c>
      <x:c r="D358" s="18" t="str">
        <x:v>Sí</x:v>
      </x:c>
      <x:c r="E358" s="18" t="str">
        <x:v>2025-10 / 2026-09</x:v>
      </x:c>
      <x:c r="F358" s="18" t="str">
        <x:v>Global · sin filtro de idioma</x:v>
      </x:c>
      <x:c r="G358" s="18" t="str">
        <x:v>search_volume</x:v>
      </x:c>
      <x:c r="H358" s="18" t="str">
        <x:v>global-candidates.json</x:v>
      </x:c>
      <x:c r="I358" s="18" t="str">
        <x:v>10181909-1949-0367-0000-d6f424f63198</x:v>
      </x:c>
      <x:c r="J358" s="18" t="str">
        <x:v>No</x:v>
      </x:c>
    </x:row>
    <x:row r="359" ht="34" customHeight="1">
      <x:c r="A359" s="18" t="str">
        <x:v>lines-of-action</x:v>
      </x:c>
      <x:c r="B359" s="18" t="str">
        <x:v>loa board game</x:v>
      </x:c>
      <x:c r="C359" s="19" t="str">
        <x:v>n.a.</x:v>
      </x:c>
      <x:c r="D359" s="18" t="str">
        <x:v>No</x:v>
      </x:c>
      <x:c r="E359" s="18" t="str">
        <x:v>n.a.</x:v>
      </x:c>
      <x:c r="F359" s="18" t="str">
        <x:v>Global · sin filtro de idioma</x:v>
      </x:c>
      <x:c r="G359" s="18" t="str">
        <x:v>search_volume</x:v>
      </x:c>
      <x:c r="H359" s="18" t="str">
        <x:v>global-candidates.json</x:v>
      </x:c>
      <x:c r="I359" s="18" t="str">
        <x:v>10181909-1949-0367-0000-d6f424f63198</x:v>
      </x:c>
      <x:c r="J359" s="18" t="str">
        <x:v>No</x:v>
      </x:c>
    </x:row>
    <x:row r="360" ht="34" customHeight="1">
      <x:c r="A360" s="18" t="str">
        <x:v>lines-of-action</x:v>
      </x:c>
      <x:c r="B360" s="18" t="str">
        <x:v>lines of action online</x:v>
      </x:c>
      <x:c r="C360" s="19" t="n">
        <x:v>10</x:v>
      </x:c>
      <x:c r="D360" s="18" t="str">
        <x:v>No</x:v>
      </x:c>
      <x:c r="E360" s="18" t="str">
        <x:v>2025-10 / 2026-09</x:v>
      </x:c>
      <x:c r="F360" s="18" t="str">
        <x:v>Global · sin filtro de idioma</x:v>
      </x:c>
      <x:c r="G360" s="18" t="str">
        <x:v>search_volume</x:v>
      </x:c>
      <x:c r="H360" s="18" t="str">
        <x:v>global-candidates.json</x:v>
      </x:c>
      <x:c r="I360" s="18" t="str">
        <x:v>10181909-1949-0367-0000-d6f424f63198</x:v>
      </x:c>
      <x:c r="J360" s="18" t="str">
        <x:v>No</x:v>
      </x:c>
    </x:row>
    <x:row r="361" ht="34" customHeight="1">
      <x:c r="A361" s="18" t="str">
        <x:v>breakthrough-game</x:v>
      </x:c>
      <x:c r="B361" s="18" t="str">
        <x:v>breakthrough game</x:v>
      </x:c>
      <x:c r="C361" s="19" t="n">
        <x:v>1000</x:v>
      </x:c>
      <x:c r="D361" s="18" t="str">
        <x:v>Sí</x:v>
      </x:c>
      <x:c r="E361" s="18" t="str">
        <x:v>2025-10 / 2026-09</x:v>
      </x:c>
      <x:c r="F361" s="18" t="str">
        <x:v>Global · sin filtro de idioma</x:v>
      </x:c>
      <x:c r="G361" s="18" t="str">
        <x:v>search_volume</x:v>
      </x:c>
      <x:c r="H361" s="18" t="str">
        <x:v>global-candidates.json</x:v>
      </x:c>
      <x:c r="I361" s="18" t="str">
        <x:v>10181909-1949-0367-0000-d6f424f63198</x:v>
      </x:c>
      <x:c r="J361" s="18" t="str">
        <x:v>No</x:v>
      </x:c>
    </x:row>
    <x:row r="362" ht="34" customHeight="1">
      <x:c r="A362" s="18" t="str">
        <x:v>breakthrough-game</x:v>
      </x:c>
      <x:c r="B362" s="18" t="str">
        <x:v>breakthrough board game</x:v>
      </x:c>
      <x:c r="C362" s="19" t="n">
        <x:v>140</x:v>
      </x:c>
      <x:c r="D362" s="18" t="str">
        <x:v>No</x:v>
      </x:c>
      <x:c r="E362" s="18" t="str">
        <x:v>2025-10 / 2026-09</x:v>
      </x:c>
      <x:c r="F362" s="18" t="str">
        <x:v>Global · sin filtro de idioma</x:v>
      </x:c>
      <x:c r="G362" s="18" t="str">
        <x:v>search_volume</x:v>
      </x:c>
      <x:c r="H362" s="18" t="str">
        <x:v>global-candidates.json</x:v>
      </x:c>
      <x:c r="I362" s="18" t="str">
        <x:v>10181909-1949-0367-0000-d6f424f63198</x:v>
      </x:c>
      <x:c r="J362" s="18" t="str">
        <x:v>No</x:v>
      </x:c>
    </x:row>
    <x:row r="363" ht="34" customHeight="1">
      <x:c r="A363" s="18" t="str">
        <x:v>breakthrough-game</x:v>
      </x:c>
      <x:c r="B363" s="18" t="str">
        <x:v>play breakthrough</x:v>
      </x:c>
      <x:c r="C363" s="19" t="n">
        <x:v>50</x:v>
      </x:c>
      <x:c r="D363" s="18" t="str">
        <x:v>No</x:v>
      </x:c>
      <x:c r="E363" s="18" t="str">
        <x:v>2025-10 / 2026-09</x:v>
      </x:c>
      <x:c r="F363" s="18" t="str">
        <x:v>Global · sin filtro de idioma</x:v>
      </x:c>
      <x:c r="G363" s="18" t="str">
        <x:v>search_volume</x:v>
      </x:c>
      <x:c r="H363" s="18" t="str">
        <x:v>global-candidates.json</x:v>
      </x:c>
      <x:c r="I363" s="18" t="str">
        <x:v>10181909-1949-0367-0000-d6f424f63198</x:v>
      </x:c>
      <x:c r="J363" s="18" t="str">
        <x:v>No</x:v>
      </x:c>
    </x:row>
    <x:row r="364" ht="34" customHeight="1">
      <x:c r="A364" s="18" t="str">
        <x:v>nim-game</x:v>
      </x:c>
      <x:c r="B364" s="18" t="str">
        <x:v>nim game</x:v>
      </x:c>
      <x:c r="C364" s="19" t="n">
        <x:v>6600</x:v>
      </x:c>
      <x:c r="D364" s="18" t="str">
        <x:v>Sí</x:v>
      </x:c>
      <x:c r="E364" s="18" t="str">
        <x:v>2025-10 / 2026-09</x:v>
      </x:c>
      <x:c r="F364" s="18" t="str">
        <x:v>Global · sin filtro de idioma</x:v>
      </x:c>
      <x:c r="G364" s="18" t="str">
        <x:v>search_volume</x:v>
      </x:c>
      <x:c r="H364" s="18" t="str">
        <x:v>global-candidates.json</x:v>
      </x:c>
      <x:c r="I364" s="18" t="str">
        <x:v>10181909-1949-0367-0000-d6f424f63198</x:v>
      </x:c>
      <x:c r="J364" s="18" t="str">
        <x:v>No</x:v>
      </x:c>
    </x:row>
    <x:row r="365" ht="34" customHeight="1">
      <x:c r="A365" s="18" t="str">
        <x:v>nim-game</x:v>
      </x:c>
      <x:c r="B365" s="18" t="str">
        <x:v>nim online</x:v>
      </x:c>
      <x:c r="C365" s="19" t="n">
        <x:v>1000</x:v>
      </x:c>
      <x:c r="D365" s="18" t="str">
        <x:v>No</x:v>
      </x:c>
      <x:c r="E365" s="18" t="str">
        <x:v>2025-10 / 2026-09</x:v>
      </x:c>
      <x:c r="F365" s="18" t="str">
        <x:v>Global · sin filtro de idioma</x:v>
      </x:c>
      <x:c r="G365" s="18" t="str">
        <x:v>search_volume</x:v>
      </x:c>
      <x:c r="H365" s="18" t="str">
        <x:v>global-candidates.json</x:v>
      </x:c>
      <x:c r="I365" s="18" t="str">
        <x:v>10181909-1949-0367-0000-d6f424f63198</x:v>
      </x:c>
      <x:c r="J365" s="18" t="str">
        <x:v>No</x:v>
      </x:c>
    </x:row>
    <x:row r="366" ht="34" customHeight="1">
      <x:c r="A366" s="18" t="str">
        <x:v>nim-game</x:v>
      </x:c>
      <x:c r="B366" s="18" t="str">
        <x:v>juego nim</x:v>
      </x:c>
      <x:c r="C366" s="19" t="n">
        <x:v>320</x:v>
      </x:c>
      <x:c r="D366" s="18" t="str">
        <x:v>No</x:v>
      </x:c>
      <x:c r="E366" s="18" t="str">
        <x:v>2025-10 / 2026-09</x:v>
      </x:c>
      <x:c r="F366" s="18" t="str">
        <x:v>Global · sin filtro de idioma</x:v>
      </x:c>
      <x:c r="G366" s="18" t="str">
        <x:v>search_volume</x:v>
      </x:c>
      <x:c r="H366" s="18" t="str">
        <x:v>global-candidates.json</x:v>
      </x:c>
      <x:c r="I366" s="18" t="str">
        <x:v>10181909-1949-0367-0000-d6f424f63198</x:v>
      </x:c>
      <x:c r="J366" s="18" t="str">
        <x:v>No</x:v>
      </x:c>
    </x:row>
    <x:row r="367" ht="34" customHeight="1">
      <x:c r="A367" s="18" t="str">
        <x:v>chomp-game</x:v>
      </x:c>
      <x:c r="B367" s="18" t="str">
        <x:v>chomp game</x:v>
      </x:c>
      <x:c r="C367" s="19" t="n">
        <x:v>880</x:v>
      </x:c>
      <x:c r="D367" s="18" t="str">
        <x:v>No</x:v>
      </x:c>
      <x:c r="E367" s="18" t="str">
        <x:v>2025-10 / 2026-09</x:v>
      </x:c>
      <x:c r="F367" s="18" t="str">
        <x:v>Global · sin filtro de idioma</x:v>
      </x:c>
      <x:c r="G367" s="18" t="str">
        <x:v>search_volume</x:v>
      </x:c>
      <x:c r="H367" s="18" t="str">
        <x:v>global-candidates.json</x:v>
      </x:c>
      <x:c r="I367" s="18" t="str">
        <x:v>10181909-1949-0367-0000-d6f424f63198</x:v>
      </x:c>
      <x:c r="J367" s="18" t="str">
        <x:v>No</x:v>
      </x:c>
    </x:row>
    <x:row r="368" ht="34" customHeight="1">
      <x:c r="A368" s="18" t="str">
        <x:v>chomp-game</x:v>
      </x:c>
      <x:c r="B368" s="18" t="str">
        <x:v>chocolate game</x:v>
      </x:c>
      <x:c r="C368" s="19" t="n">
        <x:v>6600</x:v>
      </x:c>
      <x:c r="D368" s="18" t="str">
        <x:v>Sí</x:v>
      </x:c>
      <x:c r="E368" s="18" t="str">
        <x:v>2025-10 / 2026-09</x:v>
      </x:c>
      <x:c r="F368" s="18" t="str">
        <x:v>Global · sin filtro de idioma</x:v>
      </x:c>
      <x:c r="G368" s="18" t="str">
        <x:v>search_volume</x:v>
      </x:c>
      <x:c r="H368" s="18" t="str">
        <x:v>global-candidates.json</x:v>
      </x:c>
      <x:c r="I368" s="18" t="str">
        <x:v>10181909-1949-0367-0000-d6f424f63198</x:v>
      </x:c>
      <x:c r="J368" s="18" t="str">
        <x:v>No</x:v>
      </x:c>
    </x:row>
    <x:row r="369" ht="34" customHeight="1">
      <x:c r="A369" s="18" t="str">
        <x:v>chomp-game</x:v>
      </x:c>
      <x:c r="B369" s="18" t="str">
        <x:v>chomp online</x:v>
      </x:c>
      <x:c r="C369" s="19" t="n">
        <x:v>30</x:v>
      </x:c>
      <x:c r="D369" s="18" t="str">
        <x:v>No</x:v>
      </x:c>
      <x:c r="E369" s="18" t="str">
        <x:v>2025-10 / 2026-09</x:v>
      </x:c>
      <x:c r="F369" s="18" t="str">
        <x:v>Global · sin filtro de idioma</x:v>
      </x:c>
      <x:c r="G369" s="18" t="str">
        <x:v>search_volume</x:v>
      </x:c>
      <x:c r="H369" s="18" t="str">
        <x:v>global-candidates.json</x:v>
      </x:c>
      <x:c r="I369" s="18" t="str">
        <x:v>10181909-1949-0367-0000-d6f424f63198</x:v>
      </x:c>
      <x:c r="J369" s="18" t="str">
        <x:v>No</x:v>
      </x:c>
    </x:row>
    <x:row r="370" ht="34" customHeight="1">
      <x:c r="A370" s="18" t="str">
        <x:v>sprouts-game</x:v>
      </x:c>
      <x:c r="B370" s="18" t="str">
        <x:v>sprouts game</x:v>
      </x:c>
      <x:c r="C370" s="19" t="n">
        <x:v>1900</x:v>
      </x:c>
      <x:c r="D370" s="18" t="str">
        <x:v>Sí</x:v>
      </x:c>
      <x:c r="E370" s="18" t="str">
        <x:v>2025-10 / 2026-09</x:v>
      </x:c>
      <x:c r="F370" s="18" t="str">
        <x:v>Global · sin filtro de idioma</x:v>
      </x:c>
      <x:c r="G370" s="18" t="str">
        <x:v>search_volume</x:v>
      </x:c>
      <x:c r="H370" s="18" t="str">
        <x:v>global-candidates.json</x:v>
      </x:c>
      <x:c r="I370" s="18" t="str">
        <x:v>10181909-1949-0367-0000-d6f424f63198</x:v>
      </x:c>
      <x:c r="J370" s="18" t="str">
        <x:v>No</x:v>
      </x:c>
    </x:row>
    <x:row r="371" ht="34" customHeight="1">
      <x:c r="A371" s="18" t="str">
        <x:v>sprouts-game</x:v>
      </x:c>
      <x:c r="B371" s="18" t="str">
        <x:v>sprouts online</x:v>
      </x:c>
      <x:c r="C371" s="19" t="n">
        <x:v>1000</x:v>
      </x:c>
      <x:c r="D371" s="18" t="str">
        <x:v>No</x:v>
      </x:c>
      <x:c r="E371" s="18" t="str">
        <x:v>2025-10 / 2026-09</x:v>
      </x:c>
      <x:c r="F371" s="18" t="str">
        <x:v>Global · sin filtro de idioma</x:v>
      </x:c>
      <x:c r="G371" s="18" t="str">
        <x:v>search_volume</x:v>
      </x:c>
      <x:c r="H371" s="18" t="str">
        <x:v>global-candidates.json</x:v>
      </x:c>
      <x:c r="I371" s="18" t="str">
        <x:v>10181909-1949-0367-0000-d6f424f63198</x:v>
      </x:c>
      <x:c r="J371" s="18" t="str">
        <x:v>No</x:v>
      </x:c>
    </x:row>
    <x:row r="372" ht="34" customHeight="1">
      <x:c r="A372" s="18" t="str">
        <x:v>sprouts-game</x:v>
      </x:c>
      <x:c r="B372" s="18" t="str">
        <x:v>juego brotes</x:v>
      </x:c>
      <x:c r="C372" s="19" t="str">
        <x:v>n.a.</x:v>
      </x:c>
      <x:c r="D372" s="18" t="str">
        <x:v>No</x:v>
      </x:c>
      <x:c r="E372" s="18" t="str">
        <x:v>n.a.</x:v>
      </x:c>
      <x:c r="F372" s="18" t="str">
        <x:v>Global · sin filtro de idioma</x:v>
      </x:c>
      <x:c r="G372" s="18" t="str">
        <x:v>search_volume</x:v>
      </x:c>
      <x:c r="H372" s="18" t="str">
        <x:v>global-candidates.json</x:v>
      </x:c>
      <x:c r="I372" s="18" t="str">
        <x:v>10181909-1949-0367-0000-d6f424f63198</x:v>
      </x:c>
      <x:c r="J372" s="18" t="str">
        <x:v>No</x:v>
      </x:c>
    </x:row>
    <x:row r="373" ht="34" customHeight="1">
      <x:c r="A373" s="18" t="str">
        <x:v>block-puzzle</x:v>
      </x:c>
      <x:c r="B373" s="18" t="str">
        <x:v>block puzzle</x:v>
      </x:c>
      <x:c r="C373" s="19" t="n">
        <x:v>74000</x:v>
      </x:c>
      <x:c r="D373" s="18" t="str">
        <x:v>Sí</x:v>
      </x:c>
      <x:c r="E373" s="18" t="str">
        <x:v>2025-10 / 2026-09</x:v>
      </x:c>
      <x:c r="F373" s="18" t="str">
        <x:v>Global · sin filtro de idioma</x:v>
      </x:c>
      <x:c r="G373" s="18" t="str">
        <x:v>search_volume</x:v>
      </x:c>
      <x:c r="H373" s="18" t="str">
        <x:v>global-candidates.json</x:v>
      </x:c>
      <x:c r="I373" s="18" t="str">
        <x:v>10181909-1949-0367-0000-d6f424f63198</x:v>
      </x:c>
      <x:c r="J373" s="18" t="str">
        <x:v>No</x:v>
      </x:c>
    </x:row>
    <x:row r="374" ht="34" customHeight="1">
      <x:c r="A374" s="18" t="str">
        <x:v>block-puzzle</x:v>
      </x:c>
      <x:c r="B374" s="18" t="str">
        <x:v>block blast puzzle</x:v>
      </x:c>
      <x:c r="C374" s="19" t="n">
        <x:v>12100</x:v>
      </x:c>
      <x:c r="D374" s="18" t="str">
        <x:v>No</x:v>
      </x:c>
      <x:c r="E374" s="18" t="str">
        <x:v>2025-10 / 2026-09</x:v>
      </x:c>
      <x:c r="F374" s="18" t="str">
        <x:v>Global · sin filtro de idioma</x:v>
      </x:c>
      <x:c r="G374" s="18" t="str">
        <x:v>search_volume</x:v>
      </x:c>
      <x:c r="H374" s="18" t="str">
        <x:v>global-candidates.json</x:v>
      </x:c>
      <x:c r="I374" s="18" t="str">
        <x:v>10181909-1949-0367-0000-d6f424f63198</x:v>
      </x:c>
      <x:c r="J374" s="18" t="str">
        <x:v>No</x:v>
      </x:c>
    </x:row>
    <x:row r="375" ht="34" customHeight="1">
      <x:c r="A375" s="18" t="str">
        <x:v>block-puzzle</x:v>
      </x:c>
      <x:c r="B375" s="18" t="str">
        <x:v>juego de bloques</x:v>
      </x:c>
      <x:c r="C375" s="19" t="n">
        <x:v>5400</x:v>
      </x:c>
      <x:c r="D375" s="18" t="str">
        <x:v>No</x:v>
      </x:c>
      <x:c r="E375" s="18" t="str">
        <x:v>2025-10 / 2026-09</x:v>
      </x:c>
      <x:c r="F375" s="18" t="str">
        <x:v>Global · sin filtro de idioma</x:v>
      </x:c>
      <x:c r="G375" s="18" t="str">
        <x:v>search_volume</x:v>
      </x:c>
      <x:c r="H375" s="18" t="str">
        <x:v>global-candidates.json</x:v>
      </x:c>
      <x:c r="I375" s="18" t="str">
        <x:v>10181909-1949-0367-0000-d6f424f63198</x:v>
      </x:c>
      <x:c r="J375" s="18" t="str">
        <x:v>No</x:v>
      </x:c>
    </x:row>
    <x:row r="376" ht="34" customHeight="1">
      <x:c r="A376" s="18" t="str">
        <x:v>numberlink</x:v>
      </x:c>
      <x:c r="B376" s="18" t="str">
        <x:v>numberlink</x:v>
      </x:c>
      <x:c r="C376" s="19" t="n">
        <x:v>1600</x:v>
      </x:c>
      <x:c r="D376" s="18" t="str">
        <x:v>Sí</x:v>
      </x:c>
      <x:c r="E376" s="18" t="str">
        <x:v>2025-10 / 2026-09</x:v>
      </x:c>
      <x:c r="F376" s="18" t="str">
        <x:v>Global · sin filtro de idioma</x:v>
      </x:c>
      <x:c r="G376" s="18" t="str">
        <x:v>search_volume</x:v>
      </x:c>
      <x:c r="H376" s="18" t="str">
        <x:v>global-candidates.json</x:v>
      </x:c>
      <x:c r="I376" s="18" t="str">
        <x:v>10181909-1949-0367-0000-d6f424f63198</x:v>
      </x:c>
      <x:c r="J376" s="18" t="str">
        <x:v>No</x:v>
      </x:c>
    </x:row>
    <x:row r="377" ht="34" customHeight="1">
      <x:c r="A377" s="18" t="str">
        <x:v>numberlink</x:v>
      </x:c>
      <x:c r="B377" s="18" t="str">
        <x:v>number link puzzle</x:v>
      </x:c>
      <x:c r="C377" s="19" t="n">
        <x:v>320</x:v>
      </x:c>
      <x:c r="D377" s="18" t="str">
        <x:v>No</x:v>
      </x:c>
      <x:c r="E377" s="18" t="str">
        <x:v>2025-10 / 2026-09</x:v>
      </x:c>
      <x:c r="F377" s="18" t="str">
        <x:v>Global · sin filtro de idioma</x:v>
      </x:c>
      <x:c r="G377" s="18" t="str">
        <x:v>search_volume</x:v>
      </x:c>
      <x:c r="H377" s="18" t="str">
        <x:v>global-candidates.json</x:v>
      </x:c>
      <x:c r="I377" s="18" t="str">
        <x:v>10181909-1949-0367-0000-d6f424f63198</x:v>
      </x:c>
      <x:c r="J377" s="18" t="str">
        <x:v>No</x:v>
      </x:c>
    </x:row>
    <x:row r="378" ht="34" customHeight="1">
      <x:c r="A378" s="18" t="str">
        <x:v>numberlink</x:v>
      </x:c>
      <x:c r="B378" s="18" t="str">
        <x:v>numberlink online</x:v>
      </x:c>
      <x:c r="C378" s="19" t="n">
        <x:v>20</x:v>
      </x:c>
      <x:c r="D378" s="18" t="str">
        <x:v>No</x:v>
      </x:c>
      <x:c r="E378" s="18" t="str">
        <x:v>2025-10 / 2026-09</x:v>
      </x:c>
      <x:c r="F378" s="18" t="str">
        <x:v>Global · sin filtro de idioma</x:v>
      </x:c>
      <x:c r="G378" s="18" t="str">
        <x:v>search_volume</x:v>
      </x:c>
      <x:c r="H378" s="18" t="str">
        <x:v>global-candidates.json</x:v>
      </x:c>
      <x:c r="I378" s="18" t="str">
        <x:v>10181909-1949-0367-0000-d6f424f63198</x:v>
      </x:c>
      <x:c r="J378" s="18" t="str">
        <x:v>No</x:v>
      </x:c>
    </x:row>
    <x:row r="379" ht="34" customHeight="1">
      <x:c r="A379" s="18" t="str">
        <x:v>akari-puzzle</x:v>
      </x:c>
      <x:c r="B379" s="18" t="str">
        <x:v>akari puzzle</x:v>
      </x:c>
      <x:c r="C379" s="19" t="n">
        <x:v>720</x:v>
      </x:c>
      <x:c r="D379" s="18" t="str">
        <x:v>No</x:v>
      </x:c>
      <x:c r="E379" s="18" t="str">
        <x:v>2025-10 / 2026-09</x:v>
      </x:c>
      <x:c r="F379" s="18" t="str">
        <x:v>Global · sin filtro de idioma</x:v>
      </x:c>
      <x:c r="G379" s="18" t="str">
        <x:v>search_volume</x:v>
      </x:c>
      <x:c r="H379" s="18" t="str">
        <x:v>global-candidates.json</x:v>
      </x:c>
      <x:c r="I379" s="18" t="str">
        <x:v>10181909-1949-0367-0000-d6f424f63198</x:v>
      </x:c>
      <x:c r="J379" s="18" t="str">
        <x:v>No</x:v>
      </x:c>
    </x:row>
    <x:row r="380" ht="34" customHeight="1">
      <x:c r="A380" s="18" t="str">
        <x:v>akari-puzzle</x:v>
      </x:c>
      <x:c r="B380" s="18" t="str">
        <x:v>light up puzzle</x:v>
      </x:c>
      <x:c r="C380" s="19" t="n">
        <x:v>1900</x:v>
      </x:c>
      <x:c r="D380" s="18" t="str">
        <x:v>Sí</x:v>
      </x:c>
      <x:c r="E380" s="18" t="str">
        <x:v>2025-10 / 2026-09</x:v>
      </x:c>
      <x:c r="F380" s="18" t="str">
        <x:v>Global · sin filtro de idioma</x:v>
      </x:c>
      <x:c r="G380" s="18" t="str">
        <x:v>search_volume</x:v>
      </x:c>
      <x:c r="H380" s="18" t="str">
        <x:v>global-candidates.json</x:v>
      </x:c>
      <x:c r="I380" s="18" t="str">
        <x:v>10181909-1949-0367-0000-d6f424f63198</x:v>
      </x:c>
      <x:c r="J380" s="18" t="str">
        <x:v>No</x:v>
      </x:c>
    </x:row>
    <x:row r="381" ht="34" customHeight="1">
      <x:c r="A381" s="18" t="str">
        <x:v>akari-puzzle</x:v>
      </x:c>
      <x:c r="B381" s="18" t="str">
        <x:v>akari online</x:v>
      </x:c>
      <x:c r="C381" s="19" t="n">
        <x:v>40</x:v>
      </x:c>
      <x:c r="D381" s="18" t="str">
        <x:v>No</x:v>
      </x:c>
      <x:c r="E381" s="18" t="str">
        <x:v>2025-10 / 2026-09</x:v>
      </x:c>
      <x:c r="F381" s="18" t="str">
        <x:v>Global · sin filtro de idioma</x:v>
      </x:c>
      <x:c r="G381" s="18" t="str">
        <x:v>search_volume</x:v>
      </x:c>
      <x:c r="H381" s="18" t="str">
        <x:v>global-candidates.json</x:v>
      </x:c>
      <x:c r="I381" s="18" t="str">
        <x:v>10181909-1949-0367-0000-d6f424f63198</x:v>
      </x:c>
      <x:c r="J381" s="18" t="str">
        <x:v>No</x:v>
      </x:c>
    </x:row>
    <x:row r="382" ht="34" customHeight="1">
      <x:c r="A382" s="18" t="str">
        <x:v>heyawake-puzzle</x:v>
      </x:c>
      <x:c r="B382" s="18" t="str">
        <x:v>heyawake</x:v>
      </x:c>
      <x:c r="C382" s="19" t="n">
        <x:v>1900</x:v>
      </x:c>
      <x:c r="D382" s="18" t="str">
        <x:v>Sí</x:v>
      </x:c>
      <x:c r="E382" s="18" t="str">
        <x:v>2025-10 / 2026-09</x:v>
      </x:c>
      <x:c r="F382" s="18" t="str">
        <x:v>Global · sin filtro de idioma</x:v>
      </x:c>
      <x:c r="G382" s="18" t="str">
        <x:v>search_volume</x:v>
      </x:c>
      <x:c r="H382" s="18" t="str">
        <x:v>global-candidates.json</x:v>
      </x:c>
      <x:c r="I382" s="18" t="str">
        <x:v>10181909-1949-0367-0000-d6f424f63198</x:v>
      </x:c>
      <x:c r="J382" s="18" t="str">
        <x:v>No</x:v>
      </x:c>
    </x:row>
    <x:row r="383" ht="34" customHeight="1">
      <x:c r="A383" s="18" t="str">
        <x:v>heyawake-puzzle</x:v>
      </x:c>
      <x:c r="B383" s="18" t="str">
        <x:v>heyawake puzzle</x:v>
      </x:c>
      <x:c r="C383" s="19" t="n">
        <x:v>170</x:v>
      </x:c>
      <x:c r="D383" s="18" t="str">
        <x:v>No</x:v>
      </x:c>
      <x:c r="E383" s="18" t="str">
        <x:v>2025-10 / 2026-09</x:v>
      </x:c>
      <x:c r="F383" s="18" t="str">
        <x:v>Global · sin filtro de idioma</x:v>
      </x:c>
      <x:c r="G383" s="18" t="str">
        <x:v>search_volume</x:v>
      </x:c>
      <x:c r="H383" s="18" t="str">
        <x:v>global-candidates.json</x:v>
      </x:c>
      <x:c r="I383" s="18" t="str">
        <x:v>10181909-1949-0367-0000-d6f424f63198</x:v>
      </x:c>
      <x:c r="J383" s="18" t="str">
        <x:v>No</x:v>
      </x:c>
    </x:row>
    <x:row r="384" ht="34" customHeight="1">
      <x:c r="A384" s="18" t="str">
        <x:v>heyawake-puzzle</x:v>
      </x:c>
      <x:c r="B384" s="18" t="str">
        <x:v>heyawake online</x:v>
      </x:c>
      <x:c r="C384" s="19" t="n">
        <x:v>10</x:v>
      </x:c>
      <x:c r="D384" s="18" t="str">
        <x:v>No</x:v>
      </x:c>
      <x:c r="E384" s="18" t="str">
        <x:v>2025-10 / 2026-09</x:v>
      </x:c>
      <x:c r="F384" s="18" t="str">
        <x:v>Global · sin filtro de idioma</x:v>
      </x:c>
      <x:c r="G384" s="18" t="str">
        <x:v>search_volume</x:v>
      </x:c>
      <x:c r="H384" s="18" t="str">
        <x:v>global-candidates.json</x:v>
      </x:c>
      <x:c r="I384" s="18" t="str">
        <x:v>10181909-1949-0367-0000-d6f424f63198</x:v>
      </x:c>
      <x:c r="J384" s="18" t="str">
        <x:v>No</x:v>
      </x:c>
    </x:row>
    <x:row r="385" ht="34" customHeight="1">
      <x:c r="A385" s="18" t="str">
        <x:v>yajilin-puzzle</x:v>
      </x:c>
      <x:c r="B385" s="18" t="str">
        <x:v>yajilin</x:v>
      </x:c>
      <x:c r="C385" s="19" t="n">
        <x:v>390</x:v>
      </x:c>
      <x:c r="D385" s="18" t="str">
        <x:v>Sí</x:v>
      </x:c>
      <x:c r="E385" s="18" t="str">
        <x:v>2025-10 / 2026-09</x:v>
      </x:c>
      <x:c r="F385" s="18" t="str">
        <x:v>Global · sin filtro de idioma</x:v>
      </x:c>
      <x:c r="G385" s="18" t="str">
        <x:v>search_volume</x:v>
      </x:c>
      <x:c r="H385" s="18" t="str">
        <x:v>global-candidates.json</x:v>
      </x:c>
      <x:c r="I385" s="18" t="str">
        <x:v>10181909-1949-0367-0000-d6f424f63198</x:v>
      </x:c>
      <x:c r="J385" s="18" t="str">
        <x:v>No</x:v>
      </x:c>
    </x:row>
    <x:row r="386" ht="34" customHeight="1">
      <x:c r="A386" s="18" t="str">
        <x:v>yajilin-puzzle</x:v>
      </x:c>
      <x:c r="B386" s="18" t="str">
        <x:v>yajilin puzzle</x:v>
      </x:c>
      <x:c r="C386" s="19" t="n">
        <x:v>170</x:v>
      </x:c>
      <x:c r="D386" s="18" t="str">
        <x:v>No</x:v>
      </x:c>
      <x:c r="E386" s="18" t="str">
        <x:v>2025-10 / 2026-09</x:v>
      </x:c>
      <x:c r="F386" s="18" t="str">
        <x:v>Global · sin filtro de idioma</x:v>
      </x:c>
      <x:c r="G386" s="18" t="str">
        <x:v>search_volume</x:v>
      </x:c>
      <x:c r="H386" s="18" t="str">
        <x:v>global-candidates.json</x:v>
      </x:c>
      <x:c r="I386" s="18" t="str">
        <x:v>10181909-1949-0367-0000-d6f424f63198</x:v>
      </x:c>
      <x:c r="J386" s="18" t="str">
        <x:v>No</x:v>
      </x:c>
    </x:row>
    <x:row r="387" ht="34" customHeight="1">
      <x:c r="A387" s="18" t="str">
        <x:v>yajilin-puzzle</x:v>
      </x:c>
      <x:c r="B387" s="18" t="str">
        <x:v>yajilin online</x:v>
      </x:c>
      <x:c r="C387" s="19" t="n">
        <x:v>70</x:v>
      </x:c>
      <x:c r="D387" s="18" t="str">
        <x:v>No</x:v>
      </x:c>
      <x:c r="E387" s="18" t="str">
        <x:v>2025-10 / 2026-09</x:v>
      </x:c>
      <x:c r="F387" s="18" t="str">
        <x:v>Global · sin filtro de idioma</x:v>
      </x:c>
      <x:c r="G387" s="18" t="str">
        <x:v>search_volume</x:v>
      </x:c>
      <x:c r="H387" s="18" t="str">
        <x:v>global-candidates.json</x:v>
      </x:c>
      <x:c r="I387" s="18" t="str">
        <x:v>10181909-1949-0367-0000-d6f424f63198</x:v>
      </x:c>
      <x:c r="J387" s="18" t="str">
        <x:v>No</x:v>
      </x:c>
    </x:row>
    <x:row r="388" ht="34" customHeight="1">
      <x:c r="A388" s="18" t="str">
        <x:v>masyu-puzzle</x:v>
      </x:c>
      <x:c r="B388" s="18" t="str">
        <x:v>masyu</x:v>
      </x:c>
      <x:c r="C388" s="19" t="n">
        <x:v>4400</x:v>
      </x:c>
      <x:c r="D388" s="18" t="str">
        <x:v>Sí</x:v>
      </x:c>
      <x:c r="E388" s="18" t="str">
        <x:v>2025-10 / 2026-09</x:v>
      </x:c>
      <x:c r="F388" s="18" t="str">
        <x:v>Global · sin filtro de idioma</x:v>
      </x:c>
      <x:c r="G388" s="18" t="str">
        <x:v>search_volume</x:v>
      </x:c>
      <x:c r="H388" s="18" t="str">
        <x:v>global-candidates.json</x:v>
      </x:c>
      <x:c r="I388" s="18" t="str">
        <x:v>10181909-1949-0367-0000-d6f424f63198</x:v>
      </x:c>
      <x:c r="J388" s="18" t="str">
        <x:v>No</x:v>
      </x:c>
    </x:row>
    <x:row r="389" ht="34" customHeight="1">
      <x:c r="A389" s="18" t="str">
        <x:v>masyu-puzzle</x:v>
      </x:c>
      <x:c r="B389" s="18" t="str">
        <x:v>masyu puzzle</x:v>
      </x:c>
      <x:c r="C389" s="19" t="n">
        <x:v>880</x:v>
      </x:c>
      <x:c r="D389" s="18" t="str">
        <x:v>No</x:v>
      </x:c>
      <x:c r="E389" s="18" t="str">
        <x:v>2025-10 / 2026-09</x:v>
      </x:c>
      <x:c r="F389" s="18" t="str">
        <x:v>Global · sin filtro de idioma</x:v>
      </x:c>
      <x:c r="G389" s="18" t="str">
        <x:v>search_volume</x:v>
      </x:c>
      <x:c r="H389" s="18" t="str">
        <x:v>global-candidates.json</x:v>
      </x:c>
      <x:c r="I389" s="18" t="str">
        <x:v>10181909-1949-0367-0000-d6f424f63198</x:v>
      </x:c>
      <x:c r="J389" s="18" t="str">
        <x:v>No</x:v>
      </x:c>
    </x:row>
    <x:row r="390" ht="34" customHeight="1">
      <x:c r="A390" s="18" t="str">
        <x:v>masyu-puzzle</x:v>
      </x:c>
      <x:c r="B390" s="18" t="str">
        <x:v>masyu online</x:v>
      </x:c>
      <x:c r="C390" s="19" t="n">
        <x:v>90</x:v>
      </x:c>
      <x:c r="D390" s="18" t="str">
        <x:v>No</x:v>
      </x:c>
      <x:c r="E390" s="18" t="str">
        <x:v>2025-10 / 2026-09</x:v>
      </x:c>
      <x:c r="F390" s="18" t="str">
        <x:v>Global · sin filtro de idioma</x:v>
      </x:c>
      <x:c r="G390" s="18" t="str">
        <x:v>search_volume</x:v>
      </x:c>
      <x:c r="H390" s="18" t="str">
        <x:v>global-candidates.json</x:v>
      </x:c>
      <x:c r="I390" s="18" t="str">
        <x:v>10181909-1949-0367-0000-d6f424f63198</x:v>
      </x:c>
      <x:c r="J390" s="18" t="str">
        <x:v>No</x:v>
      </x:c>
    </x:row>
    <x:row r="391" ht="34" customHeight="1">
      <x:c r="A391" s="18" t="str">
        <x:v>kuromasu-puzzle</x:v>
      </x:c>
      <x:c r="B391" s="18" t="str">
        <x:v>kuromasu</x:v>
      </x:c>
      <x:c r="C391" s="19" t="n">
        <x:v>590</x:v>
      </x:c>
      <x:c r="D391" s="18" t="str">
        <x:v>Sí</x:v>
      </x:c>
      <x:c r="E391" s="18" t="str">
        <x:v>2025-10 / 2026-09</x:v>
      </x:c>
      <x:c r="F391" s="18" t="str">
        <x:v>Global · sin filtro de idioma</x:v>
      </x:c>
      <x:c r="G391" s="18" t="str">
        <x:v>search_volume</x:v>
      </x:c>
      <x:c r="H391" s="18" t="str">
        <x:v>global-candidates.json</x:v>
      </x:c>
      <x:c r="I391" s="18" t="str">
        <x:v>10181909-1949-0367-0000-d6f424f63198</x:v>
      </x:c>
      <x:c r="J391" s="18" t="str">
        <x:v>No</x:v>
      </x:c>
    </x:row>
    <x:row r="392" ht="34" customHeight="1">
      <x:c r="A392" s="18" t="str">
        <x:v>kuromasu-puzzle</x:v>
      </x:c>
      <x:c r="B392" s="18" t="str">
        <x:v>kurodoko</x:v>
      </x:c>
      <x:c r="C392" s="19" t="n">
        <x:v>390</x:v>
      </x:c>
      <x:c r="D392" s="18" t="str">
        <x:v>No</x:v>
      </x:c>
      <x:c r="E392" s="18" t="str">
        <x:v>2025-10 / 2026-09</x:v>
      </x:c>
      <x:c r="F392" s="18" t="str">
        <x:v>Global · sin filtro de idioma</x:v>
      </x:c>
      <x:c r="G392" s="18" t="str">
        <x:v>search_volume</x:v>
      </x:c>
      <x:c r="H392" s="18" t="str">
        <x:v>global-candidates.json</x:v>
      </x:c>
      <x:c r="I392" s="18" t="str">
        <x:v>10181909-1949-0367-0000-d6f424f63198</x:v>
      </x:c>
      <x:c r="J392" s="18" t="str">
        <x:v>No</x:v>
      </x:c>
    </x:row>
    <x:row r="393" ht="34" customHeight="1">
      <x:c r="A393" s="18" t="str">
        <x:v>kuromasu-puzzle</x:v>
      </x:c>
      <x:c r="B393" s="18" t="str">
        <x:v>kuromasu online</x:v>
      </x:c>
      <x:c r="C393" s="19" t="str">
        <x:v>n.a.</x:v>
      </x:c>
      <x:c r="D393" s="18" t="str">
        <x:v>No</x:v>
      </x:c>
      <x:c r="E393" s="18" t="str">
        <x:v>n.a.</x:v>
      </x:c>
      <x:c r="F393" s="18" t="str">
        <x:v>Global · sin filtro de idioma</x:v>
      </x:c>
      <x:c r="G393" s="18" t="str">
        <x:v>search_volume</x:v>
      </x:c>
      <x:c r="H393" s="18" t="str">
        <x:v>global-candidates.json</x:v>
      </x:c>
      <x:c r="I393" s="18" t="str">
        <x:v>10181909-1949-0367-0000-d6f424f63198</x:v>
      </x:c>
      <x:c r="J393" s="18" t="str">
        <x:v>No</x:v>
      </x:c>
    </x:row>
    <x:row r="394" ht="34" customHeight="1">
      <x:c r="A394" s="18" t="str">
        <x:v>norinori-puzzle</x:v>
      </x:c>
      <x:c r="B394" s="18" t="str">
        <x:v>norinori</x:v>
      </x:c>
      <x:c r="C394" s="19" t="n">
        <x:v>22200</x:v>
      </x:c>
      <x:c r="D394" s="18" t="str">
        <x:v>Sí</x:v>
      </x:c>
      <x:c r="E394" s="18" t="str">
        <x:v>2025-10 / 2026-09</x:v>
      </x:c>
      <x:c r="F394" s="18" t="str">
        <x:v>Global · sin filtro de idioma</x:v>
      </x:c>
      <x:c r="G394" s="18" t="str">
        <x:v>search_volume</x:v>
      </x:c>
      <x:c r="H394" s="18" t="str">
        <x:v>global-candidates.json</x:v>
      </x:c>
      <x:c r="I394" s="18" t="str">
        <x:v>10181909-1949-0367-0000-d6f424f63198</x:v>
      </x:c>
      <x:c r="J394" s="18" t="str">
        <x:v>No</x:v>
      </x:c>
    </x:row>
    <x:row r="395" ht="34" customHeight="1">
      <x:c r="A395" s="18" t="str">
        <x:v>norinori-puzzle</x:v>
      </x:c>
      <x:c r="B395" s="18" t="str">
        <x:v>norinori puzzle</x:v>
      </x:c>
      <x:c r="C395" s="19" t="n">
        <x:v>590</x:v>
      </x:c>
      <x:c r="D395" s="18" t="str">
        <x:v>No</x:v>
      </x:c>
      <x:c r="E395" s="18" t="str">
        <x:v>2025-10 / 2026-09</x:v>
      </x:c>
      <x:c r="F395" s="18" t="str">
        <x:v>Global · sin filtro de idioma</x:v>
      </x:c>
      <x:c r="G395" s="18" t="str">
        <x:v>search_volume</x:v>
      </x:c>
      <x:c r="H395" s="18" t="str">
        <x:v>global-candidates.json</x:v>
      </x:c>
      <x:c r="I395" s="18" t="str">
        <x:v>10181909-1949-0367-0000-d6f424f63198</x:v>
      </x:c>
      <x:c r="J395" s="18" t="str">
        <x:v>No</x:v>
      </x:c>
    </x:row>
    <x:row r="396" ht="34" customHeight="1">
      <x:c r="A396" s="18" t="str">
        <x:v>norinori-puzzle</x:v>
      </x:c>
      <x:c r="B396" s="18" t="str">
        <x:v>norinori online</x:v>
      </x:c>
      <x:c r="C396" s="19" t="str">
        <x:v>n.a.</x:v>
      </x:c>
      <x:c r="D396" s="18" t="str">
        <x:v>No</x:v>
      </x:c>
      <x:c r="E396" s="18" t="str">
        <x:v>n.a.</x:v>
      </x:c>
      <x:c r="F396" s="18" t="str">
        <x:v>Global · sin filtro de idioma</x:v>
      </x:c>
      <x:c r="G396" s="18" t="str">
        <x:v>search_volume</x:v>
      </x:c>
      <x:c r="H396" s="18" t="str">
        <x:v>global-candidates.json</x:v>
      </x:c>
      <x:c r="I396" s="18" t="str">
        <x:v>10181909-1949-0367-0000-d6f424f63198</x:v>
      </x:c>
      <x:c r="J396" s="18" t="str">
        <x:v>No</x:v>
      </x:c>
    </x:row>
    <x:row r="397" ht="34" customHeight="1">
      <x:c r="A397" s="18" t="str">
        <x:v>tents-and-trees</x:v>
      </x:c>
      <x:c r="B397" s="18" t="str">
        <x:v>tents and trees</x:v>
      </x:c>
      <x:c r="C397" s="19" t="n">
        <x:v>1600</x:v>
      </x:c>
      <x:c r="D397" s="18" t="str">
        <x:v>Sí</x:v>
      </x:c>
      <x:c r="E397" s="18" t="str">
        <x:v>2025-10 / 2026-09</x:v>
      </x:c>
      <x:c r="F397" s="18" t="str">
        <x:v>Global · sin filtro de idioma</x:v>
      </x:c>
      <x:c r="G397" s="18" t="str">
        <x:v>search_volume</x:v>
      </x:c>
      <x:c r="H397" s="18" t="str">
        <x:v>global-candidates.json</x:v>
      </x:c>
      <x:c r="I397" s="18" t="str">
        <x:v>10181909-1949-0367-0000-d6f424f63198</x:v>
      </x:c>
      <x:c r="J397" s="18" t="str">
        <x:v>No</x:v>
      </x:c>
    </x:row>
    <x:row r="398" ht="34" customHeight="1">
      <x:c r="A398" s="18" t="str">
        <x:v>tents-and-trees</x:v>
      </x:c>
      <x:c r="B398" s="18" t="str">
        <x:v>tents puzzle</x:v>
      </x:c>
      <x:c r="C398" s="19" t="n">
        <x:v>1600</x:v>
      </x:c>
      <x:c r="D398" s="18" t="str">
        <x:v>No</x:v>
      </x:c>
      <x:c r="E398" s="18" t="str">
        <x:v>2025-10 / 2026-09</x:v>
      </x:c>
      <x:c r="F398" s="18" t="str">
        <x:v>Global · sin filtro de idioma</x:v>
      </x:c>
      <x:c r="G398" s="18" t="str">
        <x:v>search_volume</x:v>
      </x:c>
      <x:c r="H398" s="18" t="str">
        <x:v>global-candidates.json</x:v>
      </x:c>
      <x:c r="I398" s="18" t="str">
        <x:v>10181909-1949-0367-0000-d6f424f63198</x:v>
      </x:c>
      <x:c r="J398" s="18" t="str">
        <x:v>No</x:v>
      </x:c>
    </x:row>
    <x:row r="399" ht="34" customHeight="1">
      <x:c r="A399" s="18" t="str">
        <x:v>tents-and-trees</x:v>
      </x:c>
      <x:c r="B399" s="18" t="str">
        <x:v>tents and trees puzzle</x:v>
      </x:c>
      <x:c r="C399" s="19" t="n">
        <x:v>170</x:v>
      </x:c>
      <x:c r="D399" s="18" t="str">
        <x:v>No</x:v>
      </x:c>
      <x:c r="E399" s="18" t="str">
        <x:v>2025-10 / 2026-09</x:v>
      </x:c>
      <x:c r="F399" s="18" t="str">
        <x:v>Global · sin filtro de idioma</x:v>
      </x:c>
      <x:c r="G399" s="18" t="str">
        <x:v>search_volume</x:v>
      </x:c>
      <x:c r="H399" s="18" t="str">
        <x:v>global-candidates.json</x:v>
      </x:c>
      <x:c r="I399" s="18" t="str">
        <x:v>10181909-1949-0367-0000-d6f424f63198</x:v>
      </x:c>
      <x:c r="J399" s="18" t="str">
        <x:v>No</x:v>
      </x:c>
    </x:row>
    <x:row r="400" ht="34" customHeight="1">
      <x:c r="A400" s="18" t="str">
        <x:v>galaxies-puzzle</x:v>
      </x:c>
      <x:c r="B400" s="18" t="str">
        <x:v>galaxies puzzle</x:v>
      </x:c>
      <x:c r="C400" s="19" t="n">
        <x:v>2900</x:v>
      </x:c>
      <x:c r="D400" s="18" t="str">
        <x:v>No</x:v>
      </x:c>
      <x:c r="E400" s="18" t="str">
        <x:v>2025-10 / 2026-09</x:v>
      </x:c>
      <x:c r="F400" s="18" t="str">
        <x:v>Global · sin filtro de idioma</x:v>
      </x:c>
      <x:c r="G400" s="18" t="str">
        <x:v>search_volume</x:v>
      </x:c>
      <x:c r="H400" s="18" t="str">
        <x:v>global-candidates.json</x:v>
      </x:c>
      <x:c r="I400" s="18" t="str">
        <x:v>10181909-1949-0367-0000-d6f424f63198</x:v>
      </x:c>
      <x:c r="J400" s="18" t="str">
        <x:v>No</x:v>
      </x:c>
    </x:row>
    <x:row r="401" ht="34" customHeight="1">
      <x:c r="A401" s="18" t="str">
        <x:v>galaxies-puzzle</x:v>
      </x:c>
      <x:c r="B401" s="18" t="str">
        <x:v>spiral galaxies puzzle</x:v>
      </x:c>
      <x:c r="C401" s="19" t="n">
        <x:v>140</x:v>
      </x:c>
      <x:c r="D401" s="18" t="str">
        <x:v>No</x:v>
      </x:c>
      <x:c r="E401" s="18" t="str">
        <x:v>2025-10 / 2026-09</x:v>
      </x:c>
      <x:c r="F401" s="18" t="str">
        <x:v>Global · sin filtro de idioma</x:v>
      </x:c>
      <x:c r="G401" s="18" t="str">
        <x:v>search_volume</x:v>
      </x:c>
      <x:c r="H401" s="18" t="str">
        <x:v>global-candidates.json</x:v>
      </x:c>
      <x:c r="I401" s="18" t="str">
        <x:v>10181909-1949-0367-0000-d6f424f63198</x:v>
      </x:c>
      <x:c r="J401" s="18" t="str">
        <x:v>No</x:v>
      </x:c>
    </x:row>
    <x:row r="402" ht="34" customHeight="1">
      <x:c r="A402" s="18" t="str">
        <x:v>galaxies-puzzle</x:v>
      </x:c>
      <x:c r="B402" s="18" t="str">
        <x:v>galaxies game</x:v>
      </x:c>
      <x:c r="C402" s="19" t="n">
        <x:v>40500</x:v>
      </x:c>
      <x:c r="D402" s="18" t="str">
        <x:v>Sí</x:v>
      </x:c>
      <x:c r="E402" s="18" t="str">
        <x:v>2025-10 / 2026-09</x:v>
      </x:c>
      <x:c r="F402" s="18" t="str">
        <x:v>Global · sin filtro de idioma</x:v>
      </x:c>
      <x:c r="G402" s="18" t="str">
        <x:v>search_volume</x:v>
      </x:c>
      <x:c r="H402" s="18" t="str">
        <x:v>global-candidates.json</x:v>
      </x:c>
      <x:c r="I402" s="18" t="str">
        <x:v>10181909-1949-0367-0000-d6f424f63198</x:v>
      </x:c>
      <x:c r="J402" s="18" t="str">
        <x:v>No</x:v>
      </x:c>
    </x:row>
    <x:row r="403" ht="34" customHeight="1">
      <x:c r="A403" s="18" t="str">
        <x:v>star-battle</x:v>
      </x:c>
      <x:c r="B403" s="18" t="str">
        <x:v>star battle</x:v>
      </x:c>
      <x:c r="C403" s="19" t="n">
        <x:v>33100</x:v>
      </x:c>
      <x:c r="D403" s="18" t="str">
        <x:v>Sí</x:v>
      </x:c>
      <x:c r="E403" s="18" t="str">
        <x:v>2025-10 / 2026-09</x:v>
      </x:c>
      <x:c r="F403" s="18" t="str">
        <x:v>Global · sin filtro de idioma</x:v>
      </x:c>
      <x:c r="G403" s="18" t="str">
        <x:v>search_volume</x:v>
      </x:c>
      <x:c r="H403" s="18" t="str">
        <x:v>global-candidates.json</x:v>
      </x:c>
      <x:c r="I403" s="18" t="str">
        <x:v>10181909-1949-0367-0000-d6f424f63198</x:v>
      </x:c>
      <x:c r="J403" s="18" t="str">
        <x:v>No</x:v>
      </x:c>
    </x:row>
    <x:row r="404" ht="34" customHeight="1">
      <x:c r="A404" s="18" t="str">
        <x:v>star-battle</x:v>
      </x:c>
      <x:c r="B404" s="18" t="str">
        <x:v>star battle puzzle</x:v>
      </x:c>
      <x:c r="C404" s="19" t="n">
        <x:v>4400</x:v>
      </x:c>
      <x:c r="D404" s="18" t="str">
        <x:v>No</x:v>
      </x:c>
      <x:c r="E404" s="18" t="str">
        <x:v>2025-10 / 2026-09</x:v>
      </x:c>
      <x:c r="F404" s="18" t="str">
        <x:v>Global · sin filtro de idioma</x:v>
      </x:c>
      <x:c r="G404" s="18" t="str">
        <x:v>search_volume</x:v>
      </x:c>
      <x:c r="H404" s="18" t="str">
        <x:v>global-candidates.json</x:v>
      </x:c>
      <x:c r="I404" s="18" t="str">
        <x:v>10181909-1949-0367-0000-d6f424f63198</x:v>
      </x:c>
      <x:c r="J404" s="18" t="str">
        <x:v>No</x:v>
      </x:c>
    </x:row>
    <x:row r="405" ht="34" customHeight="1">
      <x:c r="A405" s="18" t="str">
        <x:v>star-battle</x:v>
      </x:c>
      <x:c r="B405" s="18" t="str">
        <x:v>star battle online</x:v>
      </x:c>
      <x:c r="C405" s="19" t="n">
        <x:v>480</x:v>
      </x:c>
      <x:c r="D405" s="18" t="str">
        <x:v>No</x:v>
      </x:c>
      <x:c r="E405" s="18" t="str">
        <x:v>2025-10 / 2026-09</x:v>
      </x:c>
      <x:c r="F405" s="18" t="str">
        <x:v>Global · sin filtro de idioma</x:v>
      </x:c>
      <x:c r="G405" s="18" t="str">
        <x:v>search_volume</x:v>
      </x:c>
      <x:c r="H405" s="18" t="str">
        <x:v>global-candidates.json</x:v>
      </x:c>
      <x:c r="I405" s="18" t="str">
        <x:v>10181909-1949-0367-0000-d6f424f63198</x:v>
      </x:c>
      <x:c r="J405" s="18" t="str">
        <x:v>No</x:v>
      </x:c>
    </x:row>
    <x:row r="406" ht="34" customHeight="1">
      <x:c r="A406" s="18" t="str">
        <x:v>skyscrapers-puzzle</x:v>
      </x:c>
      <x:c r="B406" s="18" t="str">
        <x:v>skyscrapers puzzle</x:v>
      </x:c>
      <x:c r="C406" s="19" t="n">
        <x:v>2900</x:v>
      </x:c>
      <x:c r="D406" s="18" t="str">
        <x:v>Sí</x:v>
      </x:c>
      <x:c r="E406" s="18" t="str">
        <x:v>2025-10 / 2026-09</x:v>
      </x:c>
      <x:c r="F406" s="18" t="str">
        <x:v>Global · sin filtro de idioma</x:v>
      </x:c>
      <x:c r="G406" s="18" t="str">
        <x:v>search_volume</x:v>
      </x:c>
      <x:c r="H406" s="18" t="str">
        <x:v>global-candidates.json</x:v>
      </x:c>
      <x:c r="I406" s="18" t="str">
        <x:v>10181909-1949-0367-0000-d6f424f63198</x:v>
      </x:c>
      <x:c r="J406" s="18" t="str">
        <x:v>No</x:v>
      </x:c>
    </x:row>
    <x:row r="407" ht="34" customHeight="1">
      <x:c r="A407" s="18" t="str">
        <x:v>skyscrapers-puzzle</x:v>
      </x:c>
      <x:c r="B407" s="18" t="str">
        <x:v>skyscraper puzzle</x:v>
      </x:c>
      <x:c r="C407" s="19" t="n">
        <x:v>2900</x:v>
      </x:c>
      <x:c r="D407" s="18" t="str">
        <x:v>No</x:v>
      </x:c>
      <x:c r="E407" s="18" t="str">
        <x:v>2025-10 / 2026-09</x:v>
      </x:c>
      <x:c r="F407" s="18" t="str">
        <x:v>Global · sin filtro de idioma</x:v>
      </x:c>
      <x:c r="G407" s="18" t="str">
        <x:v>search_volume</x:v>
      </x:c>
      <x:c r="H407" s="18" t="str">
        <x:v>global-candidates.json</x:v>
      </x:c>
      <x:c r="I407" s="18" t="str">
        <x:v>10181909-1949-0367-0000-d6f424f63198</x:v>
      </x:c>
      <x:c r="J407" s="18" t="str">
        <x:v>No</x:v>
      </x:c>
    </x:row>
    <x:row r="408" ht="34" customHeight="1">
      <x:c r="A408" s="18" t="str">
        <x:v>skyscrapers-puzzle</x:v>
      </x:c>
      <x:c r="B408" s="18" t="str">
        <x:v>rascacielos puzzle</x:v>
      </x:c>
      <x:c r="C408" s="19" t="str">
        <x:v>n.a.</x:v>
      </x:c>
      <x:c r="D408" s="18" t="str">
        <x:v>No</x:v>
      </x:c>
      <x:c r="E408" s="18" t="str">
        <x:v>n.a.</x:v>
      </x:c>
      <x:c r="F408" s="18" t="str">
        <x:v>Global · sin filtro de idioma</x:v>
      </x:c>
      <x:c r="G408" s="18" t="str">
        <x:v>search_volume</x:v>
      </x:c>
      <x:c r="H408" s="18" t="str">
        <x:v>global-candidates.json</x:v>
      </x:c>
      <x:c r="I408" s="18" t="str">
        <x:v>10181909-1949-0367-0000-d6f424f63198</x:v>
      </x:c>
      <x:c r="J408" s="18" t="str">
        <x:v>No</x:v>
      </x:c>
    </x:row>
    <x:row r="409" ht="34" customHeight="1">
      <x:c r="A409" s="18" t="str">
        <x:v>calcudoku</x:v>
      </x:c>
      <x:c r="B409" s="18" t="str">
        <x:v>calcudoku</x:v>
      </x:c>
      <x:c r="C409" s="19" t="n">
        <x:v>9900</x:v>
      </x:c>
      <x:c r="D409" s="18" t="str">
        <x:v>Sí</x:v>
      </x:c>
      <x:c r="E409" s="18" t="str">
        <x:v>2025-10 / 2026-09</x:v>
      </x:c>
      <x:c r="F409" s="18" t="str">
        <x:v>Global · sin filtro de idioma</x:v>
      </x:c>
      <x:c r="G409" s="18" t="str">
        <x:v>search_volume</x:v>
      </x:c>
      <x:c r="H409" s="18" t="str">
        <x:v>global-candidates.json</x:v>
      </x:c>
      <x:c r="I409" s="18" t="str">
        <x:v>10181909-1949-0367-0000-d6f424f63198</x:v>
      </x:c>
      <x:c r="J409" s="18" t="str">
        <x:v>No</x:v>
      </x:c>
    </x:row>
    <x:row r="410" ht="34" customHeight="1">
      <x:c r="A410" s="18" t="str">
        <x:v>calcudoku</x:v>
      </x:c>
      <x:c r="B410" s="18" t="str">
        <x:v>mathdoku</x:v>
      </x:c>
      <x:c r="C410" s="19" t="n">
        <x:v>2900</x:v>
      </x:c>
      <x:c r="D410" s="18" t="str">
        <x:v>No</x:v>
      </x:c>
      <x:c r="E410" s="18" t="str">
        <x:v>2025-10 / 2026-09</x:v>
      </x:c>
      <x:c r="F410" s="18" t="str">
        <x:v>Global · sin filtro de idioma</x:v>
      </x:c>
      <x:c r="G410" s="18" t="str">
        <x:v>search_volume</x:v>
      </x:c>
      <x:c r="H410" s="18" t="str">
        <x:v>global-candidates.json</x:v>
      </x:c>
      <x:c r="I410" s="18" t="str">
        <x:v>10181909-1949-0367-0000-d6f424f63198</x:v>
      </x:c>
      <x:c r="J410" s="18" t="str">
        <x:v>No</x:v>
      </x:c>
    </x:row>
    <x:row r="411" ht="34" customHeight="1">
      <x:c r="A411" s="18" t="str">
        <x:v>pool-game</x:v>
      </x:c>
      <x:c r="B411" s="18" t="str">
        <x:v>8 ball pool</x:v>
      </x:c>
      <x:c r="C411" s="19" t="n">
        <x:v>673000</x:v>
      </x:c>
      <x:c r="D411" s="18" t="str">
        <x:v>Sí</x:v>
      </x:c>
      <x:c r="E411" s="18" t="str">
        <x:v>2025-10 / 2026-09</x:v>
      </x:c>
      <x:c r="F411" s="18" t="str">
        <x:v>Global · sin filtro de idioma</x:v>
      </x:c>
      <x:c r="G411" s="18" t="str">
        <x:v>search_volume</x:v>
      </x:c>
      <x:c r="H411" s="18" t="str">
        <x:v>global-candidates.json</x:v>
      </x:c>
      <x:c r="I411" s="18" t="str">
        <x:v>10181909-1949-0367-0000-d6f424f63198</x:v>
      </x:c>
      <x:c r="J411" s="18" t="str">
        <x:v>No</x:v>
      </x:c>
    </x:row>
    <x:row r="412" ht="34" customHeight="1">
      <x:c r="A412" s="18" t="str">
        <x:v>pool-game</x:v>
      </x:c>
      <x:c r="B412" s="18" t="str">
        <x:v>billiards game</x:v>
      </x:c>
      <x:c r="C412" s="19" t="n">
        <x:v>60500</x:v>
      </x:c>
      <x:c r="D412" s="18" t="str">
        <x:v>No</x:v>
      </x:c>
      <x:c r="E412" s="18" t="str">
        <x:v>2025-10 / 2026-09</x:v>
      </x:c>
      <x:c r="F412" s="18" t="str">
        <x:v>Global · sin filtro de idioma</x:v>
      </x:c>
      <x:c r="G412" s="18" t="str">
        <x:v>search_volume</x:v>
      </x:c>
      <x:c r="H412" s="18" t="str">
        <x:v>global-candidates.json</x:v>
      </x:c>
      <x:c r="I412" s="18" t="str">
        <x:v>10181909-1949-0367-0000-d6f424f63198</x:v>
      </x:c>
      <x:c r="J412" s="18" t="str">
        <x:v>No</x:v>
      </x:c>
    </x:row>
    <x:row r="413" ht="34" customHeight="1">
      <x:c r="A413" s="18" t="str">
        <x:v>pool-game</x:v>
      </x:c>
      <x:c r="B413" s="18" t="str">
        <x:v>pool game</x:v>
      </x:c>
      <x:c r="C413" s="19" t="n">
        <x:v>165000</x:v>
      </x:c>
      <x:c r="D413" s="18" t="str">
        <x:v>No</x:v>
      </x:c>
      <x:c r="E413" s="18" t="str">
        <x:v>2025-10 / 2026-09</x:v>
      </x:c>
      <x:c r="F413" s="18" t="str">
        <x:v>Global · sin filtro de idioma</x:v>
      </x:c>
      <x:c r="G413" s="18" t="str">
        <x:v>search_volume</x:v>
      </x:c>
      <x:c r="H413" s="18" t="str">
        <x:v>global-candidates.json</x:v>
      </x:c>
      <x:c r="I413" s="18" t="str">
        <x:v>10181909-1949-0367-0000-d6f424f63198</x:v>
      </x:c>
      <x:c r="J413" s="18" t="str">
        <x:v>No</x:v>
      </x:c>
    </x:row>
    <x:row r="414" ht="34" customHeight="1">
      <x:c r="A414" s="18" t="str">
        <x:v>table-tennis-game</x:v>
      </x:c>
      <x:c r="B414" s="18" t="str">
        <x:v>ping pong game</x:v>
      </x:c>
      <x:c r="C414" s="19" t="n">
        <x:v>40500</x:v>
      </x:c>
      <x:c r="D414" s="18" t="str">
        <x:v>Sí</x:v>
      </x:c>
      <x:c r="E414" s="18" t="str">
        <x:v>2025-10 / 2026-09</x:v>
      </x:c>
      <x:c r="F414" s="18" t="str">
        <x:v>Global · sin filtro de idioma</x:v>
      </x:c>
      <x:c r="G414" s="18" t="str">
        <x:v>search_volume</x:v>
      </x:c>
      <x:c r="H414" s="18" t="str">
        <x:v>global-candidates.json</x:v>
      </x:c>
      <x:c r="I414" s="18" t="str">
        <x:v>10181909-1949-0367-0000-d6f424f63198</x:v>
      </x:c>
      <x:c r="J414" s="18" t="str">
        <x:v>No</x:v>
      </x:c>
    </x:row>
    <x:row r="415" ht="34" customHeight="1">
      <x:c r="A415" s="18" t="str">
        <x:v>table-tennis-game</x:v>
      </x:c>
      <x:c r="B415" s="18" t="str">
        <x:v>table tennis game</x:v>
      </x:c>
      <x:c r="C415" s="19" t="n">
        <x:v>22200</x:v>
      </x:c>
      <x:c r="D415" s="18" t="str">
        <x:v>No</x:v>
      </x:c>
      <x:c r="E415" s="18" t="str">
        <x:v>2025-10 / 2026-09</x:v>
      </x:c>
      <x:c r="F415" s="18" t="str">
        <x:v>Global · sin filtro de idioma</x:v>
      </x:c>
      <x:c r="G415" s="18" t="str">
        <x:v>search_volume</x:v>
      </x:c>
      <x:c r="H415" s="18" t="str">
        <x:v>global-candidates.json</x:v>
      </x:c>
      <x:c r="I415" s="18" t="str">
        <x:v>10181909-1949-0367-0000-d6f424f63198</x:v>
      </x:c>
      <x:c r="J415" s="18" t="str">
        <x:v>No</x:v>
      </x:c>
    </x:row>
    <x:row r="416" ht="34" customHeight="1">
      <x:c r="A416" s="18" t="str">
        <x:v>table-tennis-game</x:v>
      </x:c>
      <x:c r="B416" s="18" t="str">
        <x:v>juego ping pong</x:v>
      </x:c>
      <x:c r="C416" s="19" t="n">
        <x:v>14800</x:v>
      </x:c>
      <x:c r="D416" s="18" t="str">
        <x:v>No</x:v>
      </x:c>
      <x:c r="E416" s="18" t="str">
        <x:v>2025-10 / 2026-09</x:v>
      </x:c>
      <x:c r="F416" s="18" t="str">
        <x:v>Global · sin filtro de idioma</x:v>
      </x:c>
      <x:c r="G416" s="18" t="str">
        <x:v>search_volume</x:v>
      </x:c>
      <x:c r="H416" s="18" t="str">
        <x:v>global-candidates.json</x:v>
      </x:c>
      <x:c r="I416" s="18" t="str">
        <x:v>10181909-1949-0367-0000-d6f424f63198</x:v>
      </x:c>
      <x:c r="J416" s="18" t="str">
        <x:v>No</x:v>
      </x:c>
    </x:row>
    <x:row r="417" ht="34" customHeight="1">
      <x:c r="A417" s="18" t="str">
        <x:v>darts-scoreboard</x:v>
      </x:c>
      <x:c r="B417" s="18" t="str">
        <x:v>darts scorer</x:v>
      </x:c>
      <x:c r="C417" s="19" t="n">
        <x:v>110000</x:v>
      </x:c>
      <x:c r="D417" s="18" t="str">
        <x:v>Sí</x:v>
      </x:c>
      <x:c r="E417" s="18" t="str">
        <x:v>2025-10 / 2026-09</x:v>
      </x:c>
      <x:c r="F417" s="18" t="str">
        <x:v>Global · sin filtro de idioma</x:v>
      </x:c>
      <x:c r="G417" s="18" t="str">
        <x:v>search_volume</x:v>
      </x:c>
      <x:c r="H417" s="18" t="str">
        <x:v>global-candidates.json</x:v>
      </x:c>
      <x:c r="I417" s="18" t="str">
        <x:v>10181909-1949-0367-0000-d6f424f63198</x:v>
      </x:c>
      <x:c r="J417" s="18" t="str">
        <x:v>No</x:v>
      </x:c>
    </x:row>
    <x:row r="418" ht="34" customHeight="1">
      <x:c r="A418" s="18" t="str">
        <x:v>darts-scoreboard</x:v>
      </x:c>
      <x:c r="B418" s="18" t="str">
        <x:v>darts score calculator</x:v>
      </x:c>
      <x:c r="C418" s="19" t="n">
        <x:v>390</x:v>
      </x:c>
      <x:c r="D418" s="18" t="str">
        <x:v>No</x:v>
      </x:c>
      <x:c r="E418" s="18" t="str">
        <x:v>2025-10 / 2026-09</x:v>
      </x:c>
      <x:c r="F418" s="18" t="str">
        <x:v>Global · sin filtro de idioma</x:v>
      </x:c>
      <x:c r="G418" s="18" t="str">
        <x:v>search_volume</x:v>
      </x:c>
      <x:c r="H418" s="18" t="str">
        <x:v>global-candidates.json</x:v>
      </x:c>
      <x:c r="I418" s="18" t="str">
        <x:v>10181909-1949-0367-0000-d6f424f63198</x:v>
      </x:c>
      <x:c r="J418" s="18" t="str">
        <x:v>No</x:v>
      </x:c>
    </x:row>
    <x:row r="419" ht="34" customHeight="1">
      <x:c r="A419" s="18" t="str">
        <x:v>darts-scoreboard</x:v>
      </x:c>
      <x:c r="B419" s="18" t="str">
        <x:v>marcador dardos</x:v>
      </x:c>
      <x:c r="C419" s="19" t="n">
        <x:v>210</x:v>
      </x:c>
      <x:c r="D419" s="18" t="str">
        <x:v>No</x:v>
      </x:c>
      <x:c r="E419" s="18" t="str">
        <x:v>2025-10 / 2026-09</x:v>
      </x:c>
      <x:c r="F419" s="18" t="str">
        <x:v>Global · sin filtro de idioma</x:v>
      </x:c>
      <x:c r="G419" s="18" t="str">
        <x:v>search_volume</x:v>
      </x:c>
      <x:c r="H419" s="18" t="str">
        <x:v>global-candidates.json</x:v>
      </x:c>
      <x:c r="I419" s="18" t="str">
        <x:v>10181909-1949-0367-0000-d6f424f63198</x:v>
      </x:c>
      <x:c r="J419" s="18" t="str">
        <x:v>No</x:v>
      </x:c>
    </x:row>
    <x:row r="420" ht="34" customHeight="1">
      <x:c r="A420" s="18" t="str">
        <x:v>bowling-game</x:v>
      </x:c>
      <x:c r="B420" s="18" t="str">
        <x:v>bowling game</x:v>
      </x:c>
      <x:c r="C420" s="19" t="n">
        <x:v>27100</x:v>
      </x:c>
      <x:c r="D420" s="18" t="str">
        <x:v>Sí</x:v>
      </x:c>
      <x:c r="E420" s="18" t="str">
        <x:v>2025-10 / 2026-09</x:v>
      </x:c>
      <x:c r="F420" s="18" t="str">
        <x:v>Global · sin filtro de idioma</x:v>
      </x:c>
      <x:c r="G420" s="18" t="str">
        <x:v>search_volume</x:v>
      </x:c>
      <x:c r="H420" s="18" t="str">
        <x:v>global-candidates.json</x:v>
      </x:c>
      <x:c r="I420" s="18" t="str">
        <x:v>10181909-1949-0367-0000-d6f424f63198</x:v>
      </x:c>
      <x:c r="J420" s="18" t="str">
        <x:v>No</x:v>
      </x:c>
    </x:row>
    <x:row r="421" ht="34" customHeight="1">
      <x:c r="A421" s="18" t="str">
        <x:v>bowling-game</x:v>
      </x:c>
      <x:c r="B421" s="18" t="str">
        <x:v>bowling online</x:v>
      </x:c>
      <x:c r="C421" s="19" t="n">
        <x:v>3600</x:v>
      </x:c>
      <x:c r="D421" s="18" t="str">
        <x:v>No</x:v>
      </x:c>
      <x:c r="E421" s="18" t="str">
        <x:v>2025-10 / 2026-09</x:v>
      </x:c>
      <x:c r="F421" s="18" t="str">
        <x:v>Global · sin filtro de idioma</x:v>
      </x:c>
      <x:c r="G421" s="18" t="str">
        <x:v>search_volume</x:v>
      </x:c>
      <x:c r="H421" s="18" t="str">
        <x:v>global-candidates.json</x:v>
      </x:c>
      <x:c r="I421" s="18" t="str">
        <x:v>10181909-1949-0367-0000-d6f424f63198</x:v>
      </x:c>
      <x:c r="J421" s="18" t="str">
        <x:v>No</x:v>
      </x:c>
    </x:row>
    <x:row r="422" ht="34" customHeight="1">
      <x:c r="A422" s="18" t="str">
        <x:v>bowling-game</x:v>
      </x:c>
      <x:c r="B422" s="18" t="str">
        <x:v>juego bolos</x:v>
      </x:c>
      <x:c r="C422" s="19" t="n">
        <x:v>2400</x:v>
      </x:c>
      <x:c r="D422" s="18" t="str">
        <x:v>No</x:v>
      </x:c>
      <x:c r="E422" s="18" t="str">
        <x:v>2025-10 / 2026-09</x:v>
      </x:c>
      <x:c r="F422" s="18" t="str">
        <x:v>Global · sin filtro de idioma</x:v>
      </x:c>
      <x:c r="G422" s="18" t="str">
        <x:v>search_volume</x:v>
      </x:c>
      <x:c r="H422" s="18" t="str">
        <x:v>global-candidates.json</x:v>
      </x:c>
      <x:c r="I422" s="18" t="str">
        <x:v>10181909-1949-0367-0000-d6f424f63198</x:v>
      </x:c>
      <x:c r="J422" s="18" t="str">
        <x:v>No</x:v>
      </x:c>
    </x:row>
    <x:row r="423" ht="34" customHeight="1">
      <x:c r="A423" s="18" t="str">
        <x:v>car-parking-simulator</x:v>
      </x:c>
      <x:c r="B423" s="18" t="str">
        <x:v>car parking game</x:v>
      </x:c>
      <x:c r="C423" s="19" t="n">
        <x:v>27100</x:v>
      </x:c>
      <x:c r="D423" s="18" t="str">
        <x:v>Sí</x:v>
      </x:c>
      <x:c r="E423" s="18" t="str">
        <x:v>2025-10 / 2026-09</x:v>
      </x:c>
      <x:c r="F423" s="18" t="str">
        <x:v>Global · sin filtro de idioma</x:v>
      </x:c>
      <x:c r="G423" s="18" t="str">
        <x:v>search_volume</x:v>
      </x:c>
      <x:c r="H423" s="18" t="str">
        <x:v>global-candidates.json</x:v>
      </x:c>
      <x:c r="I423" s="18" t="str">
        <x:v>10181909-1949-0367-0000-d6f424f63198</x:v>
      </x:c>
      <x:c r="J423" s="18" t="str">
        <x:v>No</x:v>
      </x:c>
    </x:row>
    <x:row r="424" ht="34" customHeight="1">
      <x:c r="A424" s="18" t="str">
        <x:v>car-parking-simulator</x:v>
      </x:c>
      <x:c r="B424" s="18" t="str">
        <x:v>parking simulator</x:v>
      </x:c>
      <x:c r="C424" s="19" t="n">
        <x:v>5400</x:v>
      </x:c>
      <x:c r="D424" s="18" t="str">
        <x:v>No</x:v>
      </x:c>
      <x:c r="E424" s="18" t="str">
        <x:v>2025-10 / 2026-09</x:v>
      </x:c>
      <x:c r="F424" s="18" t="str">
        <x:v>Global · sin filtro de idioma</x:v>
      </x:c>
      <x:c r="G424" s="18" t="str">
        <x:v>search_volume</x:v>
      </x:c>
      <x:c r="H424" s="18" t="str">
        <x:v>global-candidates.json</x:v>
      </x:c>
      <x:c r="I424" s="18" t="str">
        <x:v>10181909-1949-0367-0000-d6f424f63198</x:v>
      </x:c>
      <x:c r="J424" s="18" t="str">
        <x:v>No</x:v>
      </x:c>
    </x:row>
    <x:row r="425" ht="34" customHeight="1">
      <x:c r="A425" s="18" t="str">
        <x:v>car-parking-simulator</x:v>
      </x:c>
      <x:c r="B425" s="18" t="str">
        <x:v>juego aparcar coches</x:v>
      </x:c>
      <x:c r="C425" s="19" t="n">
        <x:v>590</x:v>
      </x:c>
      <x:c r="D425" s="18" t="str">
        <x:v>No</x:v>
      </x:c>
      <x:c r="E425" s="18" t="str">
        <x:v>2025-10 / 2026-09</x:v>
      </x:c>
      <x:c r="F425" s="18" t="str">
        <x:v>Global · sin filtro de idioma</x:v>
      </x:c>
      <x:c r="G425" s="18" t="str">
        <x:v>search_volume</x:v>
      </x:c>
      <x:c r="H425" s="18" t="str">
        <x:v>global-candidates.json</x:v>
      </x:c>
      <x:c r="I425" s="18" t="str">
        <x:v>10181909-1949-0367-0000-d6f424f63198</x:v>
      </x:c>
      <x:c r="J425" s="18" t="str">
        <x:v>No</x:v>
      </x:c>
    </x:row>
    <x:row r="426" ht="34" customHeight="1">
      <x:c r="A426" s="18" t="str">
        <x:v>racing-game</x:v>
      </x:c>
      <x:c r="B426" s="18" t="str">
        <x:v>car racing games</x:v>
      </x:c>
      <x:c r="C426" s="19" t="n">
        <x:v>135000</x:v>
      </x:c>
      <x:c r="D426" s="18" t="str">
        <x:v>No</x:v>
      </x:c>
      <x:c r="E426" s="18" t="str">
        <x:v>2025-10 / 2026-09</x:v>
      </x:c>
      <x:c r="F426" s="18" t="str">
        <x:v>Global · sin filtro de idioma</x:v>
      </x:c>
      <x:c r="G426" s="18" t="str">
        <x:v>search_volume</x:v>
      </x:c>
      <x:c r="H426" s="18" t="str">
        <x:v>global-candidates.json</x:v>
      </x:c>
      <x:c r="I426" s="18" t="str">
        <x:v>10181909-1949-0367-0000-d6f424f63198</x:v>
      </x:c>
      <x:c r="J426" s="18" t="str">
        <x:v>No</x:v>
      </x:c>
    </x:row>
    <x:row r="427" ht="34" customHeight="1">
      <x:c r="A427" s="18" t="str">
        <x:v>racing-game</x:v>
      </x:c>
      <x:c r="B427" s="18" t="str">
        <x:v>racing game</x:v>
      </x:c>
      <x:c r="C427" s="19" t="n">
        <x:v>165000</x:v>
      </x:c>
      <x:c r="D427" s="18" t="str">
        <x:v>Sí</x:v>
      </x:c>
      <x:c r="E427" s="18" t="str">
        <x:v>2025-10 / 2026-09</x:v>
      </x:c>
      <x:c r="F427" s="18" t="str">
        <x:v>Global · sin filtro de idioma</x:v>
      </x:c>
      <x:c r="G427" s="18" t="str">
        <x:v>search_volume</x:v>
      </x:c>
      <x:c r="H427" s="18" t="str">
        <x:v>global-candidates.json</x:v>
      </x:c>
      <x:c r="I427" s="18" t="str">
        <x:v>10181909-1949-0367-0000-d6f424f63198</x:v>
      </x:c>
      <x:c r="J427" s="18" t="str">
        <x:v>No</x:v>
      </x:c>
    </x:row>
    <x:row r="428" ht="34" customHeight="1">
      <x:c r="A428" s="18" t="str">
        <x:v>racing-game</x:v>
      </x:c>
      <x:c r="B428" s="18" t="str">
        <x:v>juegos de carreras</x:v>
      </x:c>
      <x:c r="C428" s="19" t="n">
        <x:v>40500</x:v>
      </x:c>
      <x:c r="D428" s="18" t="str">
        <x:v>No</x:v>
      </x:c>
      <x:c r="E428" s="18" t="str">
        <x:v>2025-10 / 2026-09</x:v>
      </x:c>
      <x:c r="F428" s="18" t="str">
        <x:v>Global · sin filtro de idioma</x:v>
      </x:c>
      <x:c r="G428" s="18" t="str">
        <x:v>search_volume</x:v>
      </x:c>
      <x:c r="H428" s="18" t="str">
        <x:v>global-candidates.json</x:v>
      </x:c>
      <x:c r="I428" s="18" t="str">
        <x:v>10181909-1949-0367-0000-d6f424f63198</x:v>
      </x:c>
      <x:c r="J428" s="18" t="str">
        <x:v>No</x:v>
      </x:c>
    </x:row>
    <x:row r="429" ht="34" customHeight="1">
      <x:c r="A429" s="18" t="str">
        <x:v>basketball-shooting-game</x:v>
      </x:c>
      <x:c r="B429" s="18" t="str">
        <x:v>basketball games</x:v>
      </x:c>
      <x:c r="C429" s="19" t="n">
        <x:v>246000</x:v>
      </x:c>
      <x:c r="D429" s="18" t="str">
        <x:v>Sí</x:v>
      </x:c>
      <x:c r="E429" s="18" t="str">
        <x:v>2025-10 / 2026-09</x:v>
      </x:c>
      <x:c r="F429" s="18" t="str">
        <x:v>Global · sin filtro de idioma</x:v>
      </x:c>
      <x:c r="G429" s="18" t="str">
        <x:v>search_volume</x:v>
      </x:c>
      <x:c r="H429" s="18" t="str">
        <x:v>global-candidates.json</x:v>
      </x:c>
      <x:c r="I429" s="18" t="str">
        <x:v>10181909-1949-0367-0000-d6f424f63198</x:v>
      </x:c>
      <x:c r="J429" s="18" t="str">
        <x:v>No</x:v>
      </x:c>
    </x:row>
    <x:row r="430" ht="34" customHeight="1">
      <x:c r="A430" s="18" t="str">
        <x:v>basketball-shooting-game</x:v>
      </x:c>
      <x:c r="B430" s="18" t="str">
        <x:v>basketball game</x:v>
      </x:c>
      <x:c r="C430" s="19" t="n">
        <x:v>246000</x:v>
      </x:c>
      <x:c r="D430" s="18" t="str">
        <x:v>No</x:v>
      </x:c>
      <x:c r="E430" s="18" t="str">
        <x:v>2025-10 / 2026-09</x:v>
      </x:c>
      <x:c r="F430" s="18" t="str">
        <x:v>Global · sin filtro de idioma</x:v>
      </x:c>
      <x:c r="G430" s="18" t="str">
        <x:v>search_volume</x:v>
      </x:c>
      <x:c r="H430" s="18" t="str">
        <x:v>global-candidates.json</x:v>
      </x:c>
      <x:c r="I430" s="18" t="str">
        <x:v>10181909-1949-0367-0000-d6f424f63198</x:v>
      </x:c>
      <x:c r="J430" s="18" t="str">
        <x:v>No</x:v>
      </x:c>
    </x:row>
    <x:row r="431" ht="34" customHeight="1">
      <x:c r="A431" s="18" t="str">
        <x:v>basketball-shooting-game</x:v>
      </x:c>
      <x:c r="B431" s="18" t="str">
        <x:v>juego baloncesto</x:v>
      </x:c>
      <x:c r="C431" s="19" t="n">
        <x:v>1600</x:v>
      </x:c>
      <x:c r="D431" s="18" t="str">
        <x:v>No</x:v>
      </x:c>
      <x:c r="E431" s="18" t="str">
        <x:v>2025-10 / 2026-09</x:v>
      </x:c>
      <x:c r="F431" s="18" t="str">
        <x:v>Global · sin filtro de idioma</x:v>
      </x:c>
      <x:c r="G431" s="18" t="str">
        <x:v>search_volume</x:v>
      </x:c>
      <x:c r="H431" s="18" t="str">
        <x:v>global-candidates.json</x:v>
      </x:c>
      <x:c r="I431" s="18" t="str">
        <x:v>10181909-1949-0367-0000-d6f424f63198</x:v>
      </x:c>
      <x:c r="J431" s="18" t="str">
        <x:v>No</x:v>
      </x:c>
    </x:row>
    <x:row r="432" ht="34" customHeight="1">
      <x:c r="A432" s="18" t="str">
        <x:v>soccer-penalty-game</x:v>
      </x:c>
      <x:c r="B432" s="18" t="str">
        <x:v>soccer games</x:v>
      </x:c>
      <x:c r="C432" s="19" t="n">
        <x:v>368000</x:v>
      </x:c>
      <x:c r="D432" s="18" t="str">
        <x:v>Sí</x:v>
      </x:c>
      <x:c r="E432" s="18" t="str">
        <x:v>2025-10 / 2026-09</x:v>
      </x:c>
      <x:c r="F432" s="18" t="str">
        <x:v>Global · sin filtro de idioma</x:v>
      </x:c>
      <x:c r="G432" s="18" t="str">
        <x:v>search_volume</x:v>
      </x:c>
      <x:c r="H432" s="18" t="str">
        <x:v>global-candidates.json</x:v>
      </x:c>
      <x:c r="I432" s="18" t="str">
        <x:v>10181909-1949-0367-0000-d6f424f63198</x:v>
      </x:c>
      <x:c r="J432" s="18" t="str">
        <x:v>No</x:v>
      </x:c>
    </x:row>
    <x:row r="433" ht="34" customHeight="1">
      <x:c r="A433" s="18" t="str">
        <x:v>soccer-penalty-game</x:v>
      </x:c>
      <x:c r="B433" s="18" t="str">
        <x:v>penalty game</x:v>
      </x:c>
      <x:c r="C433" s="19" t="n">
        <x:v>18100</x:v>
      </x:c>
      <x:c r="D433" s="18" t="str">
        <x:v>No</x:v>
      </x:c>
      <x:c r="E433" s="18" t="str">
        <x:v>2025-10 / 2026-09</x:v>
      </x:c>
      <x:c r="F433" s="18" t="str">
        <x:v>Global · sin filtro de idioma</x:v>
      </x:c>
      <x:c r="G433" s="18" t="str">
        <x:v>search_volume</x:v>
      </x:c>
      <x:c r="H433" s="18" t="str">
        <x:v>global-candidates.json</x:v>
      </x:c>
      <x:c r="I433" s="18" t="str">
        <x:v>10181909-1949-0367-0000-d6f424f63198</x:v>
      </x:c>
      <x:c r="J433" s="18" t="str">
        <x:v>No</x:v>
      </x:c>
    </x:row>
    <x:row r="434" ht="34" customHeight="1">
      <x:c r="A434" s="18" t="str">
        <x:v>soccer-penalty-game</x:v>
      </x:c>
      <x:c r="B434" s="18" t="str">
        <x:v>juegos de futbol</x:v>
      </x:c>
      <x:c r="C434" s="19" t="n">
        <x:v>165000</x:v>
      </x:c>
      <x:c r="D434" s="18" t="str">
        <x:v>No</x:v>
      </x:c>
      <x:c r="E434" s="18" t="str">
        <x:v>2025-10 / 2026-09</x:v>
      </x:c>
      <x:c r="F434" s="18" t="str">
        <x:v>Global · sin filtro de idioma</x:v>
      </x:c>
      <x:c r="G434" s="18" t="str">
        <x:v>search_volume</x:v>
      </x:c>
      <x:c r="H434" s="18" t="str">
        <x:v>global-candidates.json</x:v>
      </x:c>
      <x:c r="I434" s="18" t="str">
        <x:v>10181909-1949-0367-0000-d6f424f63198</x:v>
      </x:c>
      <x:c r="J434" s="18" t="str">
        <x:v>No</x:v>
      </x:c>
    </x:row>
    <x:row r="435" ht="34" customHeight="1">
      <x:c r="A435" s="18" t="str">
        <x:v>soccer-penalty-game</x:v>
      </x:c>
      <x:c r="B435" s="18" t="str">
        <x:v>penalty shootout game</x:v>
      </x:c>
      <x:c r="C435" s="19" t="n">
        <x:v>8100</x:v>
      </x:c>
      <x:c r="D435" s="18" t="str">
        <x:v>No</x:v>
      </x:c>
      <x:c r="E435" s="18" t="str">
        <x:v>2025-10 / 2026-09</x:v>
      </x:c>
      <x:c r="F435" s="18" t="str">
        <x:v>Global · sin filtro de idioma</x:v>
      </x:c>
      <x:c r="G435" s="18" t="str">
        <x:v>search_volume</x:v>
      </x:c>
      <x:c r="H435" s="18" t="str">
        <x:v>global-refinement.json</x:v>
      </x:c>
      <x:c r="I435" s="18" t="str">
        <x:v>10181917-1949-0367-0000-6ceea1dc515c</x:v>
      </x:c>
      <x:c r="J435" s="18" t="str">
        <x:v>No</x:v>
      </x:c>
    </x:row>
    <x:row r="436" ht="34" customHeight="1">
      <x:c r="A436" s="18" t="str">
        <x:v>cricket-game</x:v>
      </x:c>
      <x:c r="B436" s="18" t="str">
        <x:v>cricket games</x:v>
      </x:c>
      <x:c r="C436" s="19" t="n">
        <x:v>368000</x:v>
      </x:c>
      <x:c r="D436" s="18" t="str">
        <x:v>Sí</x:v>
      </x:c>
      <x:c r="E436" s="18" t="str">
        <x:v>2025-10 / 2026-09</x:v>
      </x:c>
      <x:c r="F436" s="18" t="str">
        <x:v>Global · sin filtro de idioma</x:v>
      </x:c>
      <x:c r="G436" s="18" t="str">
        <x:v>search_volume</x:v>
      </x:c>
      <x:c r="H436" s="18" t="str">
        <x:v>global-candidates.json</x:v>
      </x:c>
      <x:c r="I436" s="18" t="str">
        <x:v>10181909-1949-0367-0000-d6f424f63198</x:v>
      </x:c>
      <x:c r="J436" s="18" t="str">
        <x:v>No</x:v>
      </x:c>
    </x:row>
    <x:row r="437" ht="34" customHeight="1">
      <x:c r="A437" s="18" t="str">
        <x:v>cricket-game</x:v>
      </x:c>
      <x:c r="B437" s="18" t="str">
        <x:v>cricket game</x:v>
      </x:c>
      <x:c r="C437" s="19" t="n">
        <x:v>368000</x:v>
      </x:c>
      <x:c r="D437" s="18" t="str">
        <x:v>No</x:v>
      </x:c>
      <x:c r="E437" s="18" t="str">
        <x:v>2025-10 / 2026-09</x:v>
      </x:c>
      <x:c r="F437" s="18" t="str">
        <x:v>Global · sin filtro de idioma</x:v>
      </x:c>
      <x:c r="G437" s="18" t="str">
        <x:v>search_volume</x:v>
      </x:c>
      <x:c r="H437" s="18" t="str">
        <x:v>global-candidates.json</x:v>
      </x:c>
      <x:c r="I437" s="18" t="str">
        <x:v>10181909-1949-0367-0000-d6f424f63198</x:v>
      </x:c>
      <x:c r="J437" s="18" t="str">
        <x:v>No</x:v>
      </x:c>
    </x:row>
    <x:row r="438" ht="34" customHeight="1">
      <x:c r="A438" s="18" t="str">
        <x:v>cricket-game</x:v>
      </x:c>
      <x:c r="B438" s="18" t="str">
        <x:v>juego cricket</x:v>
      </x:c>
      <x:c r="C438" s="19" t="n">
        <x:v>5400</x:v>
      </x:c>
      <x:c r="D438" s="18" t="str">
        <x:v>No</x:v>
      </x:c>
      <x:c r="E438" s="18" t="str">
        <x:v>2025-10 / 2026-09</x:v>
      </x:c>
      <x:c r="F438" s="18" t="str">
        <x:v>Global · sin filtro de idioma</x:v>
      </x:c>
      <x:c r="G438" s="18" t="str">
        <x:v>search_volume</x:v>
      </x:c>
      <x:c r="H438" s="18" t="str">
        <x:v>global-candidates.json</x:v>
      </x:c>
      <x:c r="I438" s="18" t="str">
        <x:v>10181909-1949-0367-0000-d6f424f63198</x:v>
      </x:c>
      <x:c r="J438" s="18" t="str">
        <x:v>No</x:v>
      </x:c>
    </x:row>
    <x:row r="439" ht="34" customHeight="1">
      <x:c r="A439" s="18" t="str">
        <x:v>cricket-game</x:v>
      </x:c>
      <x:c r="B439" s="18" t="str">
        <x:v>cricket games online</x:v>
      </x:c>
      <x:c r="C439" s="19" t="n">
        <x:v>27100</x:v>
      </x:c>
      <x:c r="D439" s="18" t="str">
        <x:v>No</x:v>
      </x:c>
      <x:c r="E439" s="18" t="str">
        <x:v>2025-10 / 2026-09</x:v>
      </x:c>
      <x:c r="F439" s="18" t="str">
        <x:v>Global · sin filtro de idioma</x:v>
      </x:c>
      <x:c r="G439" s="18" t="str">
        <x:v>search_volume</x:v>
      </x:c>
      <x:c r="H439" s="18" t="str">
        <x:v>global-refinement.json</x:v>
      </x:c>
      <x:c r="I439" s="18" t="str">
        <x:v>10181917-1949-0367-0000-6ceea1dc515c</x:v>
      </x:c>
      <x:c r="J439" s="18" t="str">
        <x:v>No</x:v>
      </x:c>
    </x:row>
    <x:row r="440" ht="34" customHeight="1">
      <x:c r="A440" s="18" t="str">
        <x:v>baseball-game</x:v>
      </x:c>
      <x:c r="B440" s="18" t="str">
        <x:v>baseball game</x:v>
      </x:c>
      <x:c r="C440" s="19" t="n">
        <x:v>368000</x:v>
      </x:c>
      <x:c r="D440" s="18" t="str">
        <x:v>Sí</x:v>
      </x:c>
      <x:c r="E440" s="18" t="str">
        <x:v>2025-10 / 2026-09</x:v>
      </x:c>
      <x:c r="F440" s="18" t="str">
        <x:v>Global · sin filtro de idioma</x:v>
      </x:c>
      <x:c r="G440" s="18" t="str">
        <x:v>search_volume</x:v>
      </x:c>
      <x:c r="H440" s="18" t="str">
        <x:v>global-candidates.json</x:v>
      </x:c>
      <x:c r="I440" s="18" t="str">
        <x:v>10181909-1949-0367-0000-d6f424f63198</x:v>
      </x:c>
      <x:c r="J440" s="18" t="str">
        <x:v>No</x:v>
      </x:c>
    </x:row>
    <x:row r="441" ht="34" customHeight="1">
      <x:c r="A441" s="18" t="str">
        <x:v>baseball-game</x:v>
      </x:c>
      <x:c r="B441" s="18" t="str">
        <x:v>baseball games</x:v>
      </x:c>
      <x:c r="C441" s="19" t="n">
        <x:v>368000</x:v>
      </x:c>
      <x:c r="D441" s="18" t="str">
        <x:v>No</x:v>
      </x:c>
      <x:c r="E441" s="18" t="str">
        <x:v>2025-10 / 2026-09</x:v>
      </x:c>
      <x:c r="F441" s="18" t="str">
        <x:v>Global · sin filtro de idioma</x:v>
      </x:c>
      <x:c r="G441" s="18" t="str">
        <x:v>search_volume</x:v>
      </x:c>
      <x:c r="H441" s="18" t="str">
        <x:v>global-candidates.json</x:v>
      </x:c>
      <x:c r="I441" s="18" t="str">
        <x:v>10181909-1949-0367-0000-d6f424f63198</x:v>
      </x:c>
      <x:c r="J441" s="18" t="str">
        <x:v>No</x:v>
      </x:c>
    </x:row>
    <x:row r="442" ht="34" customHeight="1">
      <x:c r="A442" s="18" t="str">
        <x:v>baseball-game</x:v>
      </x:c>
      <x:c r="B442" s="18" t="str">
        <x:v>juego beisbol</x:v>
      </x:c>
      <x:c r="C442" s="19" t="n">
        <x:v>5400</x:v>
      </x:c>
      <x:c r="D442" s="18" t="str">
        <x:v>No</x:v>
      </x:c>
      <x:c r="E442" s="18" t="str">
        <x:v>2025-10 / 2026-09</x:v>
      </x:c>
      <x:c r="F442" s="18" t="str">
        <x:v>Global · sin filtro de idioma</x:v>
      </x:c>
      <x:c r="G442" s="18" t="str">
        <x:v>search_volume</x:v>
      </x:c>
      <x:c r="H442" s="18" t="str">
        <x:v>global-candidates.json</x:v>
      </x:c>
      <x:c r="I442" s="18" t="str">
        <x:v>10181909-1949-0367-0000-d6f424f63198</x:v>
      </x:c>
      <x:c r="J442" s="18" t="str">
        <x:v>No</x:v>
      </x:c>
    </x:row>
    <x:row r="443" ht="34" customHeight="1">
      <x:c r="A443" s="18" t="str">
        <x:v>baseball-game</x:v>
      </x:c>
      <x:c r="B443" s="18" t="str">
        <x:v>baseball games online</x:v>
      </x:c>
      <x:c r="C443" s="19" t="n">
        <x:v>18100</x:v>
      </x:c>
      <x:c r="D443" s="18" t="str">
        <x:v>No</x:v>
      </x:c>
      <x:c r="E443" s="18" t="str">
        <x:v>2025-10 / 2026-09</x:v>
      </x:c>
      <x:c r="F443" s="18" t="str">
        <x:v>Global · sin filtro de idioma</x:v>
      </x:c>
      <x:c r="G443" s="18" t="str">
        <x:v>search_volume</x:v>
      </x:c>
      <x:c r="H443" s="18" t="str">
        <x:v>global-refinement.json</x:v>
      </x:c>
      <x:c r="I443" s="18" t="str">
        <x:v>10181917-1949-0367-0000-6ceea1dc515c</x:v>
      </x:c>
      <x:c r="J443" s="18" t="str">
        <x:v>No</x:v>
      </x:c>
    </x:row>
    <x:row r="444" ht="34" customHeight="1">
      <x:c r="A444" s="18" t="str">
        <x:v>fishing-game</x:v>
      </x:c>
      <x:c r="B444" s="18" t="str">
        <x:v>fishing game</x:v>
      </x:c>
      <x:c r="C444" s="19" t="n">
        <x:v>135000</x:v>
      </x:c>
      <x:c r="D444" s="18" t="str">
        <x:v>Sí</x:v>
      </x:c>
      <x:c r="E444" s="18" t="str">
        <x:v>2025-10 / 2026-09</x:v>
      </x:c>
      <x:c r="F444" s="18" t="str">
        <x:v>Global · sin filtro de idioma</x:v>
      </x:c>
      <x:c r="G444" s="18" t="str">
        <x:v>search_volume</x:v>
      </x:c>
      <x:c r="H444" s="18" t="str">
        <x:v>global-candidates.json</x:v>
      </x:c>
      <x:c r="I444" s="18" t="str">
        <x:v>10181909-1949-0367-0000-d6f424f63198</x:v>
      </x:c>
      <x:c r="J444" s="18" t="str">
        <x:v>No</x:v>
      </x:c>
    </x:row>
    <x:row r="445" ht="34" customHeight="1">
      <x:c r="A445" s="18" t="str">
        <x:v>fishing-game</x:v>
      </x:c>
      <x:c r="B445" s="18" t="str">
        <x:v>fishing games</x:v>
      </x:c>
      <x:c r="C445" s="19" t="n">
        <x:v>135000</x:v>
      </x:c>
      <x:c r="D445" s="18" t="str">
        <x:v>No</x:v>
      </x:c>
      <x:c r="E445" s="18" t="str">
        <x:v>2025-10 / 2026-09</x:v>
      </x:c>
      <x:c r="F445" s="18" t="str">
        <x:v>Global · sin filtro de idioma</x:v>
      </x:c>
      <x:c r="G445" s="18" t="str">
        <x:v>search_volume</x:v>
      </x:c>
      <x:c r="H445" s="18" t="str">
        <x:v>global-candidates.json</x:v>
      </x:c>
      <x:c r="I445" s="18" t="str">
        <x:v>10181909-1949-0367-0000-d6f424f63198</x:v>
      </x:c>
      <x:c r="J445" s="18" t="str">
        <x:v>No</x:v>
      </x:c>
    </x:row>
    <x:row r="446" ht="34" customHeight="1">
      <x:c r="A446" s="18" t="str">
        <x:v>fishing-game</x:v>
      </x:c>
      <x:c r="B446" s="18" t="str">
        <x:v>juegos de pesca</x:v>
      </x:c>
      <x:c r="C446" s="19" t="n">
        <x:v>8100</x:v>
      </x:c>
      <x:c r="D446" s="18" t="str">
        <x:v>No</x:v>
      </x:c>
      <x:c r="E446" s="18" t="str">
        <x:v>2025-10 / 2026-09</x:v>
      </x:c>
      <x:c r="F446" s="18" t="str">
        <x:v>Global · sin filtro de idioma</x:v>
      </x:c>
      <x:c r="G446" s="18" t="str">
        <x:v>search_volume</x:v>
      </x:c>
      <x:c r="H446" s="18" t="str">
        <x:v>global-candidates.json</x:v>
      </x:c>
      <x:c r="I446" s="18" t="str">
        <x:v>10181909-1949-0367-0000-d6f424f63198</x:v>
      </x:c>
      <x:c r="J446" s="18" t="str">
        <x:v>No</x:v>
      </x:c>
    </x:row>
    <x:row r="447" ht="34" customHeight="1">
      <x:c r="A447" s="18" t="str">
        <x:v>tower-defense</x:v>
      </x:c>
      <x:c r="B447" s="18" t="str">
        <x:v>tower defense</x:v>
      </x:c>
      <x:c r="C447" s="19" t="n">
        <x:v>74000</x:v>
      </x:c>
      <x:c r="D447" s="18" t="str">
        <x:v>Sí</x:v>
      </x:c>
      <x:c r="E447" s="18" t="str">
        <x:v>2025-10 / 2026-09</x:v>
      </x:c>
      <x:c r="F447" s="18" t="str">
        <x:v>Global · sin filtro de idioma</x:v>
      </x:c>
      <x:c r="G447" s="18" t="str">
        <x:v>search_volume</x:v>
      </x:c>
      <x:c r="H447" s="18" t="str">
        <x:v>global-candidates.json</x:v>
      </x:c>
      <x:c r="I447" s="18" t="str">
        <x:v>10181909-1949-0367-0000-d6f424f63198</x:v>
      </x:c>
      <x:c r="J447" s="18" t="str">
        <x:v>No</x:v>
      </x:c>
    </x:row>
    <x:row r="448" ht="34" customHeight="1">
      <x:c r="A448" s="18" t="str">
        <x:v>tower-defense</x:v>
      </x:c>
      <x:c r="B448" s="18" t="str">
        <x:v>tower defense games</x:v>
      </x:c>
      <x:c r="C448" s="19" t="n">
        <x:v>60500</x:v>
      </x:c>
      <x:c r="D448" s="18" t="str">
        <x:v>No</x:v>
      </x:c>
      <x:c r="E448" s="18" t="str">
        <x:v>2025-10 / 2026-09</x:v>
      </x:c>
      <x:c r="F448" s="18" t="str">
        <x:v>Global · sin filtro de idioma</x:v>
      </x:c>
      <x:c r="G448" s="18" t="str">
        <x:v>search_volume</x:v>
      </x:c>
      <x:c r="H448" s="18" t="str">
        <x:v>global-candidates.json</x:v>
      </x:c>
      <x:c r="I448" s="18" t="str">
        <x:v>10181909-1949-0367-0000-d6f424f63198</x:v>
      </x:c>
      <x:c r="J448" s="18" t="str">
        <x:v>No</x:v>
      </x:c>
    </x:row>
    <x:row r="449" ht="34" customHeight="1">
      <x:c r="A449" s="18" t="str">
        <x:v>tower-defense</x:v>
      </x:c>
      <x:c r="B449" s="18" t="str">
        <x:v>juegos defender torres</x:v>
      </x:c>
      <x:c r="C449" s="19" t="n">
        <x:v>210</x:v>
      </x:c>
      <x:c r="D449" s="18" t="str">
        <x:v>No</x:v>
      </x:c>
      <x:c r="E449" s="18" t="str">
        <x:v>2025-10 / 2026-09</x:v>
      </x:c>
      <x:c r="F449" s="18" t="str">
        <x:v>Global · sin filtro de idioma</x:v>
      </x:c>
      <x:c r="G449" s="18" t="str">
        <x:v>search_volume</x:v>
      </x:c>
      <x:c r="H449" s="18" t="str">
        <x:v>global-candidates.json</x:v>
      </x:c>
      <x:c r="I449" s="18" t="str">
        <x:v>10181909-1949-0367-0000-d6f424f63198</x:v>
      </x:c>
      <x:c r="J449" s="18" t="str">
        <x:v>No</x:v>
      </x:c>
    </x:row>
    <x:row r="450" ht="34" customHeight="1">
      <x:c r="A450" s="18" t="str">
        <x:v>platform-game</x:v>
      </x:c>
      <x:c r="B450" s="18" t="str">
        <x:v>platform games</x:v>
      </x:c>
      <x:c r="C450" s="19" t="n">
        <x:v>40500</x:v>
      </x:c>
      <x:c r="D450" s="18" t="str">
        <x:v>Sí</x:v>
      </x:c>
      <x:c r="E450" s="18" t="str">
        <x:v>2025-10 / 2026-09</x:v>
      </x:c>
      <x:c r="F450" s="18" t="str">
        <x:v>Global · sin filtro de idioma</x:v>
      </x:c>
      <x:c r="G450" s="18" t="str">
        <x:v>search_volume</x:v>
      </x:c>
      <x:c r="H450" s="18" t="str">
        <x:v>global-candidates.json</x:v>
      </x:c>
      <x:c r="I450" s="18" t="str">
        <x:v>10181909-1949-0367-0000-d6f424f63198</x:v>
      </x:c>
      <x:c r="J450" s="18" t="str">
        <x:v>No</x:v>
      </x:c>
    </x:row>
    <x:row r="451" ht="34" customHeight="1">
      <x:c r="A451" s="18" t="str">
        <x:v>platform-game</x:v>
      </x:c>
      <x:c r="B451" s="18" t="str">
        <x:v>platformer</x:v>
      </x:c>
      <x:c r="C451" s="19" t="n">
        <x:v>22200</x:v>
      </x:c>
      <x:c r="D451" s="18" t="str">
        <x:v>No</x:v>
      </x:c>
      <x:c r="E451" s="18" t="str">
        <x:v>2025-10 / 2026-09</x:v>
      </x:c>
      <x:c r="F451" s="18" t="str">
        <x:v>Global · sin filtro de idioma</x:v>
      </x:c>
      <x:c r="G451" s="18" t="str">
        <x:v>search_volume</x:v>
      </x:c>
      <x:c r="H451" s="18" t="str">
        <x:v>global-candidates.json</x:v>
      </x:c>
      <x:c r="I451" s="18" t="str">
        <x:v>10181909-1949-0367-0000-d6f424f63198</x:v>
      </x:c>
      <x:c r="J451" s="18" t="str">
        <x:v>No</x:v>
      </x:c>
    </x:row>
    <x:row r="452" ht="34" customHeight="1">
      <x:c r="A452" s="18" t="str">
        <x:v>platform-game</x:v>
      </x:c>
      <x:c r="B452" s="18" t="str">
        <x:v>juegos de plataformas</x:v>
      </x:c>
      <x:c r="C452" s="19" t="n">
        <x:v>1900</x:v>
      </x:c>
      <x:c r="D452" s="18" t="str">
        <x:v>No</x:v>
      </x:c>
      <x:c r="E452" s="18" t="str">
        <x:v>2025-10 / 2026-09</x:v>
      </x:c>
      <x:c r="F452" s="18" t="str">
        <x:v>Global · sin filtro de idioma</x:v>
      </x:c>
      <x:c r="G452" s="18" t="str">
        <x:v>search_volume</x:v>
      </x:c>
      <x:c r="H452" s="18" t="str">
        <x:v>global-candidates.json</x:v>
      </x:c>
      <x:c r="I452" s="18" t="str">
        <x:v>10181909-1949-0367-0000-d6f424f63198</x:v>
      </x:c>
      <x:c r="J452" s="18" t="str">
        <x:v>No</x:v>
      </x:c>
    </x:row>
    <x:row r="453" ht="34" customHeight="1">
      <x:c r="A453" s="18" t="str">
        <x:v>endless-runner</x:v>
      </x:c>
      <x:c r="B453" s="18" t="str">
        <x:v>endless runner</x:v>
      </x:c>
      <x:c r="C453" s="19" t="n">
        <x:v>5400</x:v>
      </x:c>
      <x:c r="D453" s="18" t="str">
        <x:v>No</x:v>
      </x:c>
      <x:c r="E453" s="18" t="str">
        <x:v>2025-10 / 2026-09</x:v>
      </x:c>
      <x:c r="F453" s="18" t="str">
        <x:v>Global · sin filtro de idioma</x:v>
      </x:c>
      <x:c r="G453" s="18" t="str">
        <x:v>search_volume</x:v>
      </x:c>
      <x:c r="H453" s="18" t="str">
        <x:v>global-candidates.json</x:v>
      </x:c>
      <x:c r="I453" s="18" t="str">
        <x:v>10181909-1949-0367-0000-d6f424f63198</x:v>
      </x:c>
      <x:c r="J453" s="18" t="str">
        <x:v>No</x:v>
      </x:c>
    </x:row>
    <x:row r="454" ht="34" customHeight="1">
      <x:c r="A454" s="18" t="str">
        <x:v>endless-runner</x:v>
      </x:c>
      <x:c r="B454" s="18" t="str">
        <x:v>running games</x:v>
      </x:c>
      <x:c r="C454" s="19" t="n">
        <x:v>90500</x:v>
      </x:c>
      <x:c r="D454" s="18" t="str">
        <x:v>Sí</x:v>
      </x:c>
      <x:c r="E454" s="18" t="str">
        <x:v>2025-10 / 2026-09</x:v>
      </x:c>
      <x:c r="F454" s="18" t="str">
        <x:v>Global · sin filtro de idioma</x:v>
      </x:c>
      <x:c r="G454" s="18" t="str">
        <x:v>search_volume</x:v>
      </x:c>
      <x:c r="H454" s="18" t="str">
        <x:v>global-candidates.json</x:v>
      </x:c>
      <x:c r="I454" s="18" t="str">
        <x:v>10181909-1949-0367-0000-d6f424f63198</x:v>
      </x:c>
      <x:c r="J454" s="18" t="str">
        <x:v>No</x:v>
      </x:c>
    </x:row>
    <x:row r="455" ht="34" customHeight="1">
      <x:c r="A455" s="18" t="str">
        <x:v>endless-runner</x:v>
      </x:c>
      <x:c r="B455" s="18" t="str">
        <x:v>juegos de correr</x:v>
      </x:c>
      <x:c r="C455" s="19" t="n">
        <x:v>6600</x:v>
      </x:c>
      <x:c r="D455" s="18" t="str">
        <x:v>No</x:v>
      </x:c>
      <x:c r="E455" s="18" t="str">
        <x:v>2025-10 / 2026-09</x:v>
      </x:c>
      <x:c r="F455" s="18" t="str">
        <x:v>Global · sin filtro de idioma</x:v>
      </x:c>
      <x:c r="G455" s="18" t="str">
        <x:v>search_volume</x:v>
      </x:c>
      <x:c r="H455" s="18" t="str">
        <x:v>global-candidates.json</x:v>
      </x:c>
      <x:c r="I455" s="18" t="str">
        <x:v>10181909-1949-0367-0000-d6f424f63198</x:v>
      </x:c>
      <x:c r="J455" s="18" t="str">
        <x:v>No</x:v>
      </x:c>
    </x:row>
    <x:row r="456" ht="34" customHeight="1">
      <x:c r="A456" s="18" t="str">
        <x:v>space-shooter</x:v>
      </x:c>
      <x:c r="B456" s="18" t="str">
        <x:v>space shooter</x:v>
      </x:c>
      <x:c r="C456" s="19" t="n">
        <x:v>14800</x:v>
      </x:c>
      <x:c r="D456" s="18" t="str">
        <x:v>No</x:v>
      </x:c>
      <x:c r="E456" s="18" t="str">
        <x:v>2025-10 / 2026-09</x:v>
      </x:c>
      <x:c r="F456" s="18" t="str">
        <x:v>Global · sin filtro de idioma</x:v>
      </x:c>
      <x:c r="G456" s="18" t="str">
        <x:v>search_volume</x:v>
      </x:c>
      <x:c r="H456" s="18" t="str">
        <x:v>global-candidates.json</x:v>
      </x:c>
      <x:c r="I456" s="18" t="str">
        <x:v>10181909-1949-0367-0000-d6f424f63198</x:v>
      </x:c>
      <x:c r="J456" s="18" t="str">
        <x:v>No</x:v>
      </x:c>
    </x:row>
    <x:row r="457" ht="34" customHeight="1">
      <x:c r="A457" s="18" t="str">
        <x:v>space-shooter</x:v>
      </x:c>
      <x:c r="B457" s="18" t="str">
        <x:v>space games</x:v>
      </x:c>
      <x:c r="C457" s="19" t="n">
        <x:v>74000</x:v>
      </x:c>
      <x:c r="D457" s="18" t="str">
        <x:v>Sí</x:v>
      </x:c>
      <x:c r="E457" s="18" t="str">
        <x:v>2025-10 / 2026-09</x:v>
      </x:c>
      <x:c r="F457" s="18" t="str">
        <x:v>Global · sin filtro de idioma</x:v>
      </x:c>
      <x:c r="G457" s="18" t="str">
        <x:v>search_volume</x:v>
      </x:c>
      <x:c r="H457" s="18" t="str">
        <x:v>global-candidates.json</x:v>
      </x:c>
      <x:c r="I457" s="18" t="str">
        <x:v>10181909-1949-0367-0000-d6f424f63198</x:v>
      </x:c>
      <x:c r="J457" s="18" t="str">
        <x:v>No</x:v>
      </x:c>
    </x:row>
    <x:row r="458" ht="34" customHeight="1">
      <x:c r="A458" s="18" t="str">
        <x:v>space-shooter</x:v>
      </x:c>
      <x:c r="B458" s="18" t="str">
        <x:v>juegos de naves</x:v>
      </x:c>
      <x:c r="C458" s="19" t="n">
        <x:v>720</x:v>
      </x:c>
      <x:c r="D458" s="18" t="str">
        <x:v>No</x:v>
      </x:c>
      <x:c r="E458" s="18" t="str">
        <x:v>2025-10 / 2026-09</x:v>
      </x:c>
      <x:c r="F458" s="18" t="str">
        <x:v>Global · sin filtro de idioma</x:v>
      </x:c>
      <x:c r="G458" s="18" t="str">
        <x:v>search_volume</x:v>
      </x:c>
      <x:c r="H458" s="18" t="str">
        <x:v>global-candidates.json</x:v>
      </x:c>
      <x:c r="I458" s="18" t="str">
        <x:v>10181909-1949-0367-0000-d6f424f63198</x:v>
      </x:c>
      <x:c r="J458" s="18" t="str">
        <x:v>No</x:v>
      </x:c>
    </x:row>
    <x:row r="459" ht="34" customHeight="1">
      <x:c r="A459" s="18" t="str">
        <x:v>tank-game</x:v>
      </x:c>
      <x:c r="B459" s="18" t="str">
        <x:v>tank games</x:v>
      </x:c>
      <x:c r="C459" s="19" t="n">
        <x:v>60500</x:v>
      </x:c>
      <x:c r="D459" s="18" t="str">
        <x:v>Sí</x:v>
      </x:c>
      <x:c r="E459" s="18" t="str">
        <x:v>2025-10 / 2026-09</x:v>
      </x:c>
      <x:c r="F459" s="18" t="str">
        <x:v>Global · sin filtro de idioma</x:v>
      </x:c>
      <x:c r="G459" s="18" t="str">
        <x:v>search_volume</x:v>
      </x:c>
      <x:c r="H459" s="18" t="str">
        <x:v>global-candidates.json</x:v>
      </x:c>
      <x:c r="I459" s="18" t="str">
        <x:v>10181909-1949-0367-0000-d6f424f63198</x:v>
      </x:c>
      <x:c r="J459" s="18" t="str">
        <x:v>No</x:v>
      </x:c>
    </x:row>
    <x:row r="460" ht="34" customHeight="1">
      <x:c r="A460" s="18" t="str">
        <x:v>tank-game</x:v>
      </x:c>
      <x:c r="B460" s="18" t="str">
        <x:v>tank game</x:v>
      </x:c>
      <x:c r="C460" s="19" t="n">
        <x:v>60500</x:v>
      </x:c>
      <x:c r="D460" s="18" t="str">
        <x:v>No</x:v>
      </x:c>
      <x:c r="E460" s="18" t="str">
        <x:v>2025-10 / 2026-09</x:v>
      </x:c>
      <x:c r="F460" s="18" t="str">
        <x:v>Global · sin filtro de idioma</x:v>
      </x:c>
      <x:c r="G460" s="18" t="str">
        <x:v>search_volume</x:v>
      </x:c>
      <x:c r="H460" s="18" t="str">
        <x:v>global-candidates.json</x:v>
      </x:c>
      <x:c r="I460" s="18" t="str">
        <x:v>10181909-1949-0367-0000-d6f424f63198</x:v>
      </x:c>
      <x:c r="J460" s="18" t="str">
        <x:v>No</x:v>
      </x:c>
    </x:row>
    <x:row r="461" ht="34" customHeight="1">
      <x:c r="A461" s="18" t="str">
        <x:v>tank-game</x:v>
      </x:c>
      <x:c r="B461" s="18" t="str">
        <x:v>juegos de tanques</x:v>
      </x:c>
      <x:c r="C461" s="19" t="n">
        <x:v>9900</x:v>
      </x:c>
      <x:c r="D461" s="18" t="str">
        <x:v>No</x:v>
      </x:c>
      <x:c r="E461" s="18" t="str">
        <x:v>2025-10 / 2026-09</x:v>
      </x:c>
      <x:c r="F461" s="18" t="str">
        <x:v>Global · sin filtro de idioma</x:v>
      </x:c>
      <x:c r="G461" s="18" t="str">
        <x:v>search_volume</x:v>
      </x:c>
      <x:c r="H461" s="18" t="str">
        <x:v>global-candidates.json</x:v>
      </x:c>
      <x:c r="I461" s="18" t="str">
        <x:v>10181909-1949-0367-0000-d6f424f63198</x:v>
      </x:c>
      <x:c r="J461" s="18" t="str">
        <x:v>No</x:v>
      </x:c>
    </x:row>
    <x:row r="462" ht="34" customHeight="1">
      <x:c r="A462" s="18" t="str">
        <x:v>territory-game</x:v>
      </x:c>
      <x:c r="B462" s="18" t="str">
        <x:v>territory game</x:v>
      </x:c>
      <x:c r="C462" s="19" t="n">
        <x:v>3600</x:v>
      </x:c>
      <x:c r="D462" s="18" t="str">
        <x:v>Sí</x:v>
      </x:c>
      <x:c r="E462" s="18" t="str">
        <x:v>2025-10 / 2026-09</x:v>
      </x:c>
      <x:c r="F462" s="18" t="str">
        <x:v>Global · sin filtro de idioma</x:v>
      </x:c>
      <x:c r="G462" s="18" t="str">
        <x:v>search_volume</x:v>
      </x:c>
      <x:c r="H462" s="18" t="str">
        <x:v>global-candidates.json</x:v>
      </x:c>
      <x:c r="I462" s="18" t="str">
        <x:v>10181909-1949-0367-0000-d6f424f63198</x:v>
      </x:c>
      <x:c r="J462" s="18" t="str">
        <x:v>No</x:v>
      </x:c>
    </x:row>
    <x:row r="463" ht="34" customHeight="1">
      <x:c r="A463" s="18" t="str">
        <x:v>territory-game</x:v>
      </x:c>
      <x:c r="B463" s="18" t="str">
        <x:v>territory io game</x:v>
      </x:c>
      <x:c r="C463" s="19" t="n">
        <x:v>1900</x:v>
      </x:c>
      <x:c r="D463" s="18" t="str">
        <x:v>No</x:v>
      </x:c>
      <x:c r="E463" s="18" t="str">
        <x:v>2025-10 / 2026-09</x:v>
      </x:c>
      <x:c r="F463" s="18" t="str">
        <x:v>Global · sin filtro de idioma</x:v>
      </x:c>
      <x:c r="G463" s="18" t="str">
        <x:v>search_volume</x:v>
      </x:c>
      <x:c r="H463" s="18" t="str">
        <x:v>global-candidates.json</x:v>
      </x:c>
      <x:c r="I463" s="18" t="str">
        <x:v>10181909-1949-0367-0000-d6f424f63198</x:v>
      </x:c>
      <x:c r="J463" s="18" t="str">
        <x:v>No</x:v>
      </x:c>
    </x:row>
    <x:row r="464" ht="34" customHeight="1">
      <x:c r="A464" s="18" t="str">
        <x:v>territory-game</x:v>
      </x:c>
      <x:c r="B464" s="18" t="str">
        <x:v>juego conquistar territorio</x:v>
      </x:c>
      <x:c r="C464" s="19" t="str">
        <x:v>n.a.</x:v>
      </x:c>
      <x:c r="D464" s="18" t="str">
        <x:v>No</x:v>
      </x:c>
      <x:c r="E464" s="18" t="str">
        <x:v>n.a.</x:v>
      </x:c>
      <x:c r="F464" s="18" t="str">
        <x:v>Global · sin filtro de idioma</x:v>
      </x:c>
      <x:c r="G464" s="18" t="str">
        <x:v>search_volume</x:v>
      </x:c>
      <x:c r="H464" s="18" t="str">
        <x:v>global-candidates.json</x:v>
      </x:c>
      <x:c r="I464" s="18" t="str">
        <x:v>10181909-1949-0367-0000-d6f424f63198</x:v>
      </x:c>
      <x:c r="J464" s="18" t="str">
        <x:v>No</x:v>
      </x:c>
    </x:row>
    <x:row r="465" ht="34" customHeight="1">
      <x:c r="A465" s="18" t="str">
        <x:v>truth-or-dare</x:v>
      </x:c>
      <x:c r="B465" s="18" t="str">
        <x:v>truth or dare</x:v>
      </x:c>
      <x:c r="C465" s="19" t="n">
        <x:v>301000</x:v>
      </x:c>
      <x:c r="D465" s="18" t="str">
        <x:v>Sí</x:v>
      </x:c>
      <x:c r="E465" s="18" t="str">
        <x:v>2025-10 / 2026-09</x:v>
      </x:c>
      <x:c r="F465" s="18" t="str">
        <x:v>Global · sin filtro de idioma</x:v>
      </x:c>
      <x:c r="G465" s="18" t="str">
        <x:v>search_volume</x:v>
      </x:c>
      <x:c r="H465" s="18" t="str">
        <x:v>global-initial-screen.json</x:v>
      </x:c>
      <x:c r="I465" s="18" t="str">
        <x:v>10181645-1949-0367-0000-721aab5cac1a</x:v>
      </x:c>
      <x:c r="J465" s="18" t="str">
        <x:v>No</x:v>
      </x:c>
    </x:row>
    <x:row r="466" ht="34" customHeight="1">
      <x:c r="A466" s="18" t="str">
        <x:v>truth-or-dare</x:v>
      </x:c>
      <x:c r="B466" s="18" t="str">
        <x:v>verdad o reto</x:v>
      </x:c>
      <x:c r="C466" s="19" t="n">
        <x:v>60500</x:v>
      </x:c>
      <x:c r="D466" s="18" t="str">
        <x:v>No</x:v>
      </x:c>
      <x:c r="E466" s="18" t="str">
        <x:v>2025-10 / 2026-09</x:v>
      </x:c>
      <x:c r="F466" s="18" t="str">
        <x:v>Global · sin filtro de idioma</x:v>
      </x:c>
      <x:c r="G466" s="18" t="str">
        <x:v>search_volume</x:v>
      </x:c>
      <x:c r="H466" s="18" t="str">
        <x:v>global-candidates.json</x:v>
      </x:c>
      <x:c r="I466" s="18" t="str">
        <x:v>10181909-1949-0367-0000-d6f424f63198</x:v>
      </x:c>
      <x:c r="J466" s="18" t="str">
        <x:v>No</x:v>
      </x:c>
    </x:row>
    <x:row r="467" ht="34" customHeight="1">
      <x:c r="A467" s="18" t="str">
        <x:v>truth-or-dare</x:v>
      </x:c>
      <x:c r="B467" s="18" t="str">
        <x:v>action ou vérité</x:v>
      </x:c>
      <x:c r="C467" s="19" t="n">
        <x:v>40500</x:v>
      </x:c>
      <x:c r="D467" s="18" t="str">
        <x:v>No</x:v>
      </x:c>
      <x:c r="E467" s="18" t="str">
        <x:v>2025-10 / 2026-09</x:v>
      </x:c>
      <x:c r="F467" s="18" t="str">
        <x:v>Global · sin filtro de idioma</x:v>
      </x:c>
      <x:c r="G467" s="18" t="str">
        <x:v>search_volume</x:v>
      </x:c>
      <x:c r="H467" s="18" t="str">
        <x:v>global-candidates.json</x:v>
      </x:c>
      <x:c r="I467" s="18" t="str">
        <x:v>10181909-1949-0367-0000-d6f424f63198</x:v>
      </x:c>
      <x:c r="J467" s="18" t="str">
        <x:v>No</x:v>
      </x:c>
    </x:row>
    <x:row r="468" ht="34" customHeight="1">
      <x:c r="A468" s="18" t="str">
        <x:v>never-have-i-ever</x:v>
      </x:c>
      <x:c r="B468" s="18" t="str">
        <x:v>never have i ever</x:v>
      </x:c>
      <x:c r="C468" s="19" t="n">
        <x:v>550000</x:v>
      </x:c>
      <x:c r="D468" s="18" t="str">
        <x:v>Sí</x:v>
      </x:c>
      <x:c r="E468" s="18" t="str">
        <x:v>2025-10 / 2026-09</x:v>
      </x:c>
      <x:c r="F468" s="18" t="str">
        <x:v>Global · sin filtro de idioma</x:v>
      </x:c>
      <x:c r="G468" s="18" t="str">
        <x:v>search_volume</x:v>
      </x:c>
      <x:c r="H468" s="18" t="str">
        <x:v>global-initial-screen.json</x:v>
      </x:c>
      <x:c r="I468" s="18" t="str">
        <x:v>10181645-1949-0367-0000-721aab5cac1a</x:v>
      </x:c>
      <x:c r="J468" s="18" t="str">
        <x:v>No</x:v>
      </x:c>
    </x:row>
    <x:row r="469" ht="34" customHeight="1">
      <x:c r="A469" s="18" t="str">
        <x:v>never-have-i-ever</x:v>
      </x:c>
      <x:c r="B469" s="18" t="str">
        <x:v>yo nunca</x:v>
      </x:c>
      <x:c r="C469" s="19" t="n">
        <x:v>22200</x:v>
      </x:c>
      <x:c r="D469" s="18" t="str">
        <x:v>No</x:v>
      </x:c>
      <x:c r="E469" s="18" t="str">
        <x:v>2025-10 / 2026-09</x:v>
      </x:c>
      <x:c r="F469" s="18" t="str">
        <x:v>Global · sin filtro de idioma</x:v>
      </x:c>
      <x:c r="G469" s="18" t="str">
        <x:v>search_volume</x:v>
      </x:c>
      <x:c r="H469" s="18" t="str">
        <x:v>global-candidates.json</x:v>
      </x:c>
      <x:c r="I469" s="18" t="str">
        <x:v>10181909-1949-0367-0000-d6f424f63198</x:v>
      </x:c>
      <x:c r="J469" s="18" t="str">
        <x:v>No</x:v>
      </x:c>
    </x:row>
    <x:row r="470" ht="34" customHeight="1">
      <x:c r="A470" s="18" t="str">
        <x:v>never-have-i-ever</x:v>
      </x:c>
      <x:c r="B470" s="18" t="str">
        <x:v>eu nunca</x:v>
      </x:c>
      <x:c r="C470" s="19" t="n">
        <x:v>27100</x:v>
      </x:c>
      <x:c r="D470" s="18" t="str">
        <x:v>No</x:v>
      </x:c>
      <x:c r="E470" s="18" t="str">
        <x:v>2025-10 / 2026-09</x:v>
      </x:c>
      <x:c r="F470" s="18" t="str">
        <x:v>Global · sin filtro de idioma</x:v>
      </x:c>
      <x:c r="G470" s="18" t="str">
        <x:v>search_volume</x:v>
      </x:c>
      <x:c r="H470" s="18" t="str">
        <x:v>global-candidates.json</x:v>
      </x:c>
      <x:c r="I470" s="18" t="str">
        <x:v>10181909-1949-0367-0000-d6f424f63198</x:v>
      </x:c>
      <x:c r="J470" s="18" t="str">
        <x:v>No</x:v>
      </x:c>
    </x:row>
    <x:row r="471" ht="34" customHeight="1">
      <x:c r="A471" s="18" t="str">
        <x:v>would-you-rather</x:v>
      </x:c>
      <x:c r="B471" s="18" t="str">
        <x:v>would you rather</x:v>
      </x:c>
      <x:c r="C471" s="19" t="n">
        <x:v>201000</x:v>
      </x:c>
      <x:c r="D471" s="18" t="str">
        <x:v>No</x:v>
      </x:c>
      <x:c r="E471" s="18" t="str">
        <x:v>2025-10 / 2026-09</x:v>
      </x:c>
      <x:c r="F471" s="18" t="str">
        <x:v>Global · sin filtro de idioma</x:v>
      </x:c>
      <x:c r="G471" s="18" t="str">
        <x:v>search_volume</x:v>
      </x:c>
      <x:c r="H471" s="18" t="str">
        <x:v>global-initial-screen.json</x:v>
      </x:c>
      <x:c r="I471" s="18" t="str">
        <x:v>10181645-1949-0367-0000-721aab5cac1a</x:v>
      </x:c>
      <x:c r="J471" s="18" t="str">
        <x:v>No</x:v>
      </x:c>
    </x:row>
    <x:row r="472" ht="34" customHeight="1">
      <x:c r="A472" s="18" t="str">
        <x:v>would-you-rather</x:v>
      </x:c>
      <x:c r="B472" s="18" t="str">
        <x:v>que prefieres</x:v>
      </x:c>
      <x:c r="C472" s="19" t="n">
        <x:v>22200</x:v>
      </x:c>
      <x:c r="D472" s="18" t="str">
        <x:v>No</x:v>
      </x:c>
      <x:c r="E472" s="18" t="str">
        <x:v>2025-10 / 2026-09</x:v>
      </x:c>
      <x:c r="F472" s="18" t="str">
        <x:v>Global · sin filtro de idioma</x:v>
      </x:c>
      <x:c r="G472" s="18" t="str">
        <x:v>search_volume</x:v>
      </x:c>
      <x:c r="H472" s="18" t="str">
        <x:v>global-candidates.json</x:v>
      </x:c>
      <x:c r="I472" s="18" t="str">
        <x:v>10181909-1949-0367-0000-d6f424f63198</x:v>
      </x:c>
      <x:c r="J472" s="18" t="str">
        <x:v>No</x:v>
      </x:c>
    </x:row>
    <x:row r="473" ht="34" customHeight="1">
      <x:c r="A473" s="18" t="str">
        <x:v>would-you-rather</x:v>
      </x:c>
      <x:c r="B473" s="18" t="str">
        <x:v>would you rather questions</x:v>
      </x:c>
      <x:c r="C473" s="19" t="n">
        <x:v>368000</x:v>
      </x:c>
      <x:c r="D473" s="18" t="str">
        <x:v>Sí</x:v>
      </x:c>
      <x:c r="E473" s="18" t="str">
        <x:v>2025-10 / 2026-09</x:v>
      </x:c>
      <x:c r="F473" s="18" t="str">
        <x:v>Global · sin filtro de idioma</x:v>
      </x:c>
      <x:c r="G473" s="18" t="str">
        <x:v>search_volume</x:v>
      </x:c>
      <x:c r="H473" s="18" t="str">
        <x:v>global-candidates.json</x:v>
      </x:c>
      <x:c r="I473" s="18" t="str">
        <x:v>10181909-1949-0367-0000-d6f424f63198</x:v>
      </x:c>
      <x:c r="J473" s="18" t="str">
        <x:v>No</x:v>
      </x:c>
    </x:row>
    <x:row r="474" ht="34" customHeight="1">
      <x:c r="A474" s="18" t="str">
        <x:v>charades</x:v>
      </x:c>
      <x:c r="B474" s="18" t="str">
        <x:v>charades</x:v>
      </x:c>
      <x:c r="C474" s="19" t="n">
        <x:v>246000</x:v>
      </x:c>
      <x:c r="D474" s="18" t="str">
        <x:v>Sí</x:v>
      </x:c>
      <x:c r="E474" s="18" t="str">
        <x:v>2025-10 / 2026-09</x:v>
      </x:c>
      <x:c r="F474" s="18" t="str">
        <x:v>Global · sin filtro de idioma</x:v>
      </x:c>
      <x:c r="G474" s="18" t="str">
        <x:v>search_volume</x:v>
      </x:c>
      <x:c r="H474" s="18" t="str">
        <x:v>global-initial-screen.json</x:v>
      </x:c>
      <x:c r="I474" s="18" t="str">
        <x:v>10181645-1949-0367-0000-721aab5cac1a</x:v>
      </x:c>
      <x:c r="J474" s="18" t="str">
        <x:v>No</x:v>
      </x:c>
    </x:row>
    <x:row r="475" ht="34" customHeight="1">
      <x:c r="A475" s="18" t="str">
        <x:v>charades</x:v>
      </x:c>
      <x:c r="B475" s="18" t="str">
        <x:v>charades generator</x:v>
      </x:c>
      <x:c r="C475" s="19" t="n">
        <x:v>60500</x:v>
      </x:c>
      <x:c r="D475" s="18" t="str">
        <x:v>No</x:v>
      </x:c>
      <x:c r="E475" s="18" t="str">
        <x:v>2025-10 / 2026-09</x:v>
      </x:c>
      <x:c r="F475" s="18" t="str">
        <x:v>Global · sin filtro de idioma</x:v>
      </x:c>
      <x:c r="G475" s="18" t="str">
        <x:v>search_volume</x:v>
      </x:c>
      <x:c r="H475" s="18" t="str">
        <x:v>global-candidates.json</x:v>
      </x:c>
      <x:c r="I475" s="18" t="str">
        <x:v>10181909-1949-0367-0000-d6f424f63198</x:v>
      </x:c>
      <x:c r="J475" s="18" t="str">
        <x:v>No</x:v>
      </x:c>
    </x:row>
    <x:row r="476" ht="34" customHeight="1">
      <x:c r="A476" s="18" t="str">
        <x:v>charades</x:v>
      </x:c>
      <x:c r="B476" s="18" t="str">
        <x:v>juego mimica</x:v>
      </x:c>
      <x:c r="C476" s="19" t="n">
        <x:v>720</x:v>
      </x:c>
      <x:c r="D476" s="18" t="str">
        <x:v>No</x:v>
      </x:c>
      <x:c r="E476" s="18" t="str">
        <x:v>2025-10 / 2026-09</x:v>
      </x:c>
      <x:c r="F476" s="18" t="str">
        <x:v>Global · sin filtro de idioma</x:v>
      </x:c>
      <x:c r="G476" s="18" t="str">
        <x:v>search_volume</x:v>
      </x:c>
      <x:c r="H476" s="18" t="str">
        <x:v>global-candidates.json</x:v>
      </x:c>
      <x:c r="I476" s="18" t="str">
        <x:v>10181909-1949-0367-0000-d6f424f63198</x:v>
      </x:c>
      <x:c r="J476" s="18" t="str">
        <x:v>No</x:v>
      </x:c>
    </x:row>
    <x:row r="477" ht="34" customHeight="1">
      <x:c r="A477" s="18" t="str">
        <x:v>draw-and-guess</x:v>
      </x:c>
      <x:c r="B477" s="18" t="str">
        <x:v>draw and guess</x:v>
      </x:c>
      <x:c r="C477" s="19" t="n">
        <x:v>18100</x:v>
      </x:c>
      <x:c r="D477" s="18" t="str">
        <x:v>No</x:v>
      </x:c>
      <x:c r="E477" s="18" t="str">
        <x:v>2025-10 / 2026-09</x:v>
      </x:c>
      <x:c r="F477" s="18" t="str">
        <x:v>Global · sin filtro de idioma</x:v>
      </x:c>
      <x:c r="G477" s="18" t="str">
        <x:v>search_volume</x:v>
      </x:c>
      <x:c r="H477" s="18" t="str">
        <x:v>global-candidates.json</x:v>
      </x:c>
      <x:c r="I477" s="18" t="str">
        <x:v>10181909-1949-0367-0000-d6f424f63198</x:v>
      </x:c>
      <x:c r="J477" s="18" t="str">
        <x:v>No</x:v>
      </x:c>
    </x:row>
    <x:row r="478" ht="34" customHeight="1">
      <x:c r="A478" s="18" t="str">
        <x:v>draw-and-guess</x:v>
      </x:c>
      <x:c r="B478" s="18" t="str">
        <x:v>drawing guessing game</x:v>
      </x:c>
      <x:c r="C478" s="19" t="n">
        <x:v>22200</x:v>
      </x:c>
      <x:c r="D478" s="18" t="str">
        <x:v>Sí</x:v>
      </x:c>
      <x:c r="E478" s="18" t="str">
        <x:v>2025-10 / 2026-09</x:v>
      </x:c>
      <x:c r="F478" s="18" t="str">
        <x:v>Global · sin filtro de idioma</x:v>
      </x:c>
      <x:c r="G478" s="18" t="str">
        <x:v>search_volume</x:v>
      </x:c>
      <x:c r="H478" s="18" t="str">
        <x:v>global-candidates.json</x:v>
      </x:c>
      <x:c r="I478" s="18" t="str">
        <x:v>10181909-1949-0367-0000-d6f424f63198</x:v>
      </x:c>
      <x:c r="J478" s="18" t="str">
        <x:v>No</x:v>
      </x:c>
    </x:row>
    <x:row r="479" ht="34" customHeight="1">
      <x:c r="A479" s="18" t="str">
        <x:v>draw-and-guess</x:v>
      </x:c>
      <x:c r="B479" s="18" t="str">
        <x:v>dibujar y adivinar</x:v>
      </x:c>
      <x:c r="C479" s="19" t="n">
        <x:v>2900</x:v>
      </x:c>
      <x:c r="D479" s="18" t="str">
        <x:v>No</x:v>
      </x:c>
      <x:c r="E479" s="18" t="str">
        <x:v>2025-10 / 2026-09</x:v>
      </x:c>
      <x:c r="F479" s="18" t="str">
        <x:v>Global · sin filtro de idioma</x:v>
      </x:c>
      <x:c r="G479" s="18" t="str">
        <x:v>search_volume</x:v>
      </x:c>
      <x:c r="H479" s="18" t="str">
        <x:v>global-candidates.json</x:v>
      </x:c>
      <x:c r="I479" s="18" t="str">
        <x:v>10181909-1949-0367-0000-d6f424f63198</x:v>
      </x:c>
      <x:c r="J479" s="18" t="str">
        <x:v>No</x:v>
      </x:c>
    </x:row>
    <x:row r="480" ht="34" customHeight="1">
      <x:c r="A480" s="18" t="str">
        <x:v>geographic-distance-calculator</x:v>
      </x:c>
      <x:c r="B480" s="18" t="str">
        <x:v>distance calculator</x:v>
      </x:c>
      <x:c r="C480" s="19" t="n">
        <x:v>450000</x:v>
      </x:c>
      <x:c r="D480" s="18" t="str">
        <x:v>Sí</x:v>
      </x:c>
      <x:c r="E480" s="18" t="str">
        <x:v>2025-10 / 2026-09</x:v>
      </x:c>
      <x:c r="F480" s="18" t="str">
        <x:v>Global · sin filtro de idioma</x:v>
      </x:c>
      <x:c r="G480" s="18" t="str">
        <x:v>search_volume</x:v>
      </x:c>
      <x:c r="H480" s="18" t="str">
        <x:v>global-candidates.json</x:v>
      </x:c>
      <x:c r="I480" s="18" t="str">
        <x:v>10181909-1949-0367-0000-d6f424f63198</x:v>
      </x:c>
      <x:c r="J480" s="18" t="str">
        <x:v>No</x:v>
      </x:c>
    </x:row>
    <x:row r="481" ht="34" customHeight="1">
      <x:c r="A481" s="18" t="str">
        <x:v>geographic-distance-calculator</x:v>
      </x:c>
      <x:c r="B481" s="18" t="str">
        <x:v>map distance calculator</x:v>
      </x:c>
      <x:c r="C481" s="19" t="n">
        <x:v>18100</x:v>
      </x:c>
      <x:c r="D481" s="18" t="str">
        <x:v>No</x:v>
      </x:c>
      <x:c r="E481" s="18" t="str">
        <x:v>2025-10 / 2026-09</x:v>
      </x:c>
      <x:c r="F481" s="18" t="str">
        <x:v>Global · sin filtro de idioma</x:v>
      </x:c>
      <x:c r="G481" s="18" t="str">
        <x:v>search_volume</x:v>
      </x:c>
      <x:c r="H481" s="18" t="str">
        <x:v>global-candidates.json</x:v>
      </x:c>
      <x:c r="I481" s="18" t="str">
        <x:v>10181909-1949-0367-0000-d6f424f63198</x:v>
      </x:c>
      <x:c r="J481" s="18" t="str">
        <x:v>No</x:v>
      </x:c>
    </x:row>
    <x:row r="482" ht="34" customHeight="1">
      <x:c r="A482" s="18" t="str">
        <x:v>geographic-distance-calculator</x:v>
      </x:c>
      <x:c r="B482" s="18" t="str">
        <x:v>calcular distancia mapa</x:v>
      </x:c>
      <x:c r="C482" s="19" t="n">
        <x:v>480</x:v>
      </x:c>
      <x:c r="D482" s="18" t="str">
        <x:v>No</x:v>
      </x:c>
      <x:c r="E482" s="18" t="str">
        <x:v>2025-10 / 2026-09</x:v>
      </x:c>
      <x:c r="F482" s="18" t="str">
        <x:v>Global · sin filtro de idioma</x:v>
      </x:c>
      <x:c r="G482" s="18" t="str">
        <x:v>search_volume</x:v>
      </x:c>
      <x:c r="H482" s="18" t="str">
        <x:v>global-candidates.json</x:v>
      </x:c>
      <x:c r="I482" s="18" t="str">
        <x:v>10181909-1949-0367-0000-d6f424f63198</x:v>
      </x:c>
      <x:c r="J482" s="18" t="str">
        <x:v>No</x:v>
      </x:c>
    </x:row>
    <x:row r="483" ht="34" customHeight="1">
      <x:c r="A483" s="18" t="str">
        <x:v>3d-function-grapher</x:v>
      </x:c>
      <x:c r="B483" s="18" t="str">
        <x:v>3d graphing calculator</x:v>
      </x:c>
      <x:c r="C483" s="19" t="n">
        <x:v>12100</x:v>
      </x:c>
      <x:c r="D483" s="18" t="str">
        <x:v>Sí</x:v>
      </x:c>
      <x:c r="E483" s="18" t="str">
        <x:v>2025-10 / 2026-09</x:v>
      </x:c>
      <x:c r="F483" s="18" t="str">
        <x:v>Global · sin filtro de idioma</x:v>
      </x:c>
      <x:c r="G483" s="18" t="str">
        <x:v>search_volume</x:v>
      </x:c>
      <x:c r="H483" s="18" t="str">
        <x:v>global-candidates.json</x:v>
      </x:c>
      <x:c r="I483" s="18" t="str">
        <x:v>10181909-1949-0367-0000-d6f424f63198</x:v>
      </x:c>
      <x:c r="J483" s="18" t="str">
        <x:v>No</x:v>
      </x:c>
    </x:row>
    <x:row r="484" ht="34" customHeight="1">
      <x:c r="A484" s="18" t="str">
        <x:v>3d-function-grapher</x:v>
      </x:c>
      <x:c r="B484" s="18" t="str">
        <x:v>3d grapher</x:v>
      </x:c>
      <x:c r="C484" s="19" t="n">
        <x:v>5400</x:v>
      </x:c>
      <x:c r="D484" s="18" t="str">
        <x:v>No</x:v>
      </x:c>
      <x:c r="E484" s="18" t="str">
        <x:v>2025-10 / 2026-09</x:v>
      </x:c>
      <x:c r="F484" s="18" t="str">
        <x:v>Global · sin filtro de idioma</x:v>
      </x:c>
      <x:c r="G484" s="18" t="str">
        <x:v>search_volume</x:v>
      </x:c>
      <x:c r="H484" s="18" t="str">
        <x:v>global-candidates.json</x:v>
      </x:c>
      <x:c r="I484" s="18" t="str">
        <x:v>10181909-1949-0367-0000-d6f424f63198</x:v>
      </x:c>
      <x:c r="J484" s="18" t="str">
        <x:v>No</x:v>
      </x:c>
    </x:row>
    <x:row r="485" ht="34" customHeight="1">
      <x:c r="A485" s="18" t="str">
        <x:v>3d-function-grapher</x:v>
      </x:c>
      <x:c r="B485" s="18" t="str">
        <x:v>3d plotter</x:v>
      </x:c>
      <x:c r="C485" s="19" t="n">
        <x:v>9900</x:v>
      </x:c>
      <x:c r="D485" s="18" t="str">
        <x:v>No</x:v>
      </x:c>
      <x:c r="E485" s="18" t="str">
        <x:v>2025-10 / 2026-09</x:v>
      </x:c>
      <x:c r="F485" s="18" t="str">
        <x:v>Global · sin filtro de idioma</x:v>
      </x:c>
      <x:c r="G485" s="18" t="str">
        <x:v>search_volume</x:v>
      </x:c>
      <x:c r="H485" s="18" t="str">
        <x:v>global-candidates.json</x:v>
      </x:c>
      <x:c r="I485" s="18" t="str">
        <x:v>10181909-1949-0367-0000-d6f424f63198</x:v>
      </x:c>
      <x:c r="J485" s="18" t="str">
        <x:v>No</x:v>
      </x:c>
    </x:row>
    <x:row r="486" ht="34" customHeight="1">
      <x:c r="A486" s="18" t="str">
        <x:v>geometry-construction</x:v>
      </x:c>
      <x:c r="B486" s="18" t="str">
        <x:v>geometry calculator</x:v>
      </x:c>
      <x:c r="C486" s="19" t="n">
        <x:v>9900</x:v>
      </x:c>
      <x:c r="D486" s="18" t="str">
        <x:v>Sí</x:v>
      </x:c>
      <x:c r="E486" s="18" t="str">
        <x:v>2025-10 / 2026-09</x:v>
      </x:c>
      <x:c r="F486" s="18" t="str">
        <x:v>Global · sin filtro de idioma</x:v>
      </x:c>
      <x:c r="G486" s="18" t="str">
        <x:v>search_volume</x:v>
      </x:c>
      <x:c r="H486" s="18" t="str">
        <x:v>global-candidates.json</x:v>
      </x:c>
      <x:c r="I486" s="18" t="str">
        <x:v>10181909-1949-0367-0000-d6f424f63198</x:v>
      </x:c>
      <x:c r="J486" s="18" t="str">
        <x:v>No</x:v>
      </x:c>
    </x:row>
    <x:row r="487" ht="34" customHeight="1">
      <x:c r="A487" s="18" t="str">
        <x:v>geometry-construction</x:v>
      </x:c>
      <x:c r="B487" s="18" t="str">
        <x:v>geometry construction</x:v>
      </x:c>
      <x:c r="C487" s="19" t="n">
        <x:v>8100</x:v>
      </x:c>
      <x:c r="D487" s="18" t="str">
        <x:v>No</x:v>
      </x:c>
      <x:c r="E487" s="18" t="str">
        <x:v>2025-10 / 2026-09</x:v>
      </x:c>
      <x:c r="F487" s="18" t="str">
        <x:v>Global · sin filtro de idioma</x:v>
      </x:c>
      <x:c r="G487" s="18" t="str">
        <x:v>search_volume</x:v>
      </x:c>
      <x:c r="H487" s="18" t="str">
        <x:v>global-candidates.json</x:v>
      </x:c>
      <x:c r="I487" s="18" t="str">
        <x:v>10181909-1949-0367-0000-d6f424f63198</x:v>
      </x:c>
      <x:c r="J487" s="18" t="str">
        <x:v>No</x:v>
      </x:c>
    </x:row>
    <x:row r="488" ht="34" customHeight="1">
      <x:c r="A488" s="18" t="str">
        <x:v>geometry-construction</x:v>
      </x:c>
      <x:c r="B488" s="18" t="str">
        <x:v>geometria dinamica</x:v>
      </x:c>
      <x:c r="C488" s="19" t="n">
        <x:v>260</x:v>
      </x:c>
      <x:c r="D488" s="18" t="str">
        <x:v>No</x:v>
      </x:c>
      <x:c r="E488" s="18" t="str">
        <x:v>2025-10 / 2026-09</x:v>
      </x:c>
      <x:c r="F488" s="18" t="str">
        <x:v>Global · sin filtro de idioma</x:v>
      </x:c>
      <x:c r="G488" s="18" t="str">
        <x:v>search_volume</x:v>
      </x:c>
      <x:c r="H488" s="18" t="str">
        <x:v>global-candidates.json</x:v>
      </x:c>
      <x:c r="I488" s="18" t="str">
        <x:v>10181909-1949-0367-0000-d6f424f63198</x:v>
      </x:c>
      <x:c r="J488" s="18" t="str">
        <x:v>No</x:v>
      </x:c>
    </x:row>
    <x:row r="489" ht="34" customHeight="1">
      <x:c r="A489" s="18" t="str">
        <x:v>formal-proof-checker</x:v>
      </x:c>
      <x:c r="B489" s="18" t="str">
        <x:v>proof checker</x:v>
      </x:c>
      <x:c r="C489" s="19" t="n">
        <x:v>1300</x:v>
      </x:c>
      <x:c r="D489" s="18" t="str">
        <x:v>No</x:v>
      </x:c>
      <x:c r="E489" s="18" t="str">
        <x:v>2025-10 / 2026-09</x:v>
      </x:c>
      <x:c r="F489" s="18" t="str">
        <x:v>Global · sin filtro de idioma</x:v>
      </x:c>
      <x:c r="G489" s="18" t="str">
        <x:v>search_volume</x:v>
      </x:c>
      <x:c r="H489" s="18" t="str">
        <x:v>global-candidates.json</x:v>
      </x:c>
      <x:c r="I489" s="18" t="str">
        <x:v>10181909-1949-0367-0000-d6f424f63198</x:v>
      </x:c>
      <x:c r="J489" s="18" t="str">
        <x:v>No</x:v>
      </x:c>
    </x:row>
    <x:row r="490" ht="34" customHeight="1">
      <x:c r="A490" s="18" t="str">
        <x:v>formal-proof-checker</x:v>
      </x:c>
      <x:c r="B490" s="18" t="str">
        <x:v>logic proof solver</x:v>
      </x:c>
      <x:c r="C490" s="19" t="n">
        <x:v>590</x:v>
      </x:c>
      <x:c r="D490" s="18" t="str">
        <x:v>No</x:v>
      </x:c>
      <x:c r="E490" s="18" t="str">
        <x:v>2025-10 / 2026-09</x:v>
      </x:c>
      <x:c r="F490" s="18" t="str">
        <x:v>Global · sin filtro de idioma</x:v>
      </x:c>
      <x:c r="G490" s="18" t="str">
        <x:v>search_volume</x:v>
      </x:c>
      <x:c r="H490" s="18" t="str">
        <x:v>global-candidates.json</x:v>
      </x:c>
      <x:c r="I490" s="18" t="str">
        <x:v>10181909-1949-0367-0000-d6f424f63198</x:v>
      </x:c>
      <x:c r="J490" s="18" t="str">
        <x:v>No</x:v>
      </x:c>
    </x:row>
    <x:row r="491" ht="34" customHeight="1">
      <x:c r="A491" s="18" t="str">
        <x:v>formal-proof-checker</x:v>
      </x:c>
      <x:c r="B491" s="18" t="str">
        <x:v>natural deduction calculator</x:v>
      </x:c>
      <x:c r="C491" s="19" t="n">
        <x:v>1900</x:v>
      </x:c>
      <x:c r="D491" s="18" t="str">
        <x:v>Sí</x:v>
      </x:c>
      <x:c r="E491" s="18" t="str">
        <x:v>2025-10 / 2026-09</x:v>
      </x:c>
      <x:c r="F491" s="18" t="str">
        <x:v>Global · sin filtro de idioma</x:v>
      </x:c>
      <x:c r="G491" s="18" t="str">
        <x:v>search_volume</x:v>
      </x:c>
      <x:c r="H491" s="18" t="str">
        <x:v>global-candidates.json</x:v>
      </x:c>
      <x:c r="I491" s="18" t="str">
        <x:v>10181909-1949-0367-0000-d6f424f63198</x:v>
      </x:c>
      <x:c r="J491" s="18" t="str">
        <x:v>No</x:v>
      </x:c>
    </x:row>
    <x:row r="492" ht="34" customHeight="1">
      <x:c r="A492" s="18" t="str">
        <x:v>equation-photo-reader</x:v>
      </x:c>
      <x:c r="B492" s="18" t="str">
        <x:v>image to latex</x:v>
      </x:c>
      <x:c r="C492" s="19" t="n">
        <x:v>1600</x:v>
      </x:c>
      <x:c r="D492" s="18" t="str">
        <x:v>No</x:v>
      </x:c>
      <x:c r="E492" s="18" t="str">
        <x:v>2025-10 / 2026-09</x:v>
      </x:c>
      <x:c r="F492" s="18" t="str">
        <x:v>Global · sin filtro de idioma</x:v>
      </x:c>
      <x:c r="G492" s="18" t="str">
        <x:v>search_volume</x:v>
      </x:c>
      <x:c r="H492" s="18" t="str">
        <x:v>global-candidates.json</x:v>
      </x:c>
      <x:c r="I492" s="18" t="str">
        <x:v>10181909-1949-0367-0000-d6f424f63198</x:v>
      </x:c>
      <x:c r="J492" s="18" t="str">
        <x:v>No</x:v>
      </x:c>
    </x:row>
    <x:row r="493" ht="34" customHeight="1">
      <x:c r="A493" s="18" t="str">
        <x:v>equation-photo-reader</x:v>
      </x:c>
      <x:c r="B493" s="18" t="str">
        <x:v>math ocr</x:v>
      </x:c>
      <x:c r="C493" s="19" t="n">
        <x:v>2900</x:v>
      </x:c>
      <x:c r="D493" s="18" t="str">
        <x:v>Sí</x:v>
      </x:c>
      <x:c r="E493" s="18" t="str">
        <x:v>2025-10 / 2026-09</x:v>
      </x:c>
      <x:c r="F493" s="18" t="str">
        <x:v>Global · sin filtro de idioma</x:v>
      </x:c>
      <x:c r="G493" s="18" t="str">
        <x:v>search_volume</x:v>
      </x:c>
      <x:c r="H493" s="18" t="str">
        <x:v>global-candidates.json</x:v>
      </x:c>
      <x:c r="I493" s="18" t="str">
        <x:v>10181909-1949-0367-0000-d6f424f63198</x:v>
      </x:c>
      <x:c r="J493" s="18" t="str">
        <x:v>No</x:v>
      </x:c>
    </x:row>
    <x:row r="494" ht="34" customHeight="1">
      <x:c r="A494" s="18" t="str">
        <x:v>equation-photo-reader</x:v>
      </x:c>
      <x:c r="B494" s="18" t="str">
        <x:v>photo to latex</x:v>
      </x:c>
      <x:c r="C494" s="19" t="n">
        <x:v>140</x:v>
      </x:c>
      <x:c r="D494" s="18" t="str">
        <x:v>No</x:v>
      </x:c>
      <x:c r="E494" s="18" t="str">
        <x:v>2025-10 / 2026-09</x:v>
      </x:c>
      <x:c r="F494" s="18" t="str">
        <x:v>Global · sin filtro de idioma</x:v>
      </x:c>
      <x:c r="G494" s="18" t="str">
        <x:v>search_volume</x:v>
      </x:c>
      <x:c r="H494" s="18" t="str">
        <x:v>global-candidates.json</x:v>
      </x:c>
      <x:c r="I494" s="18" t="str">
        <x:v>10181909-1949-0367-0000-d6f424f63198</x:v>
      </x:c>
      <x:c r="J494" s="18" t="str">
        <x:v>No</x:v>
      </x:c>
    </x:row>
    <x:row r="495" ht="34" customHeight="1">
      <x:c r="A495" s="18" t="str">
        <x:v>geometry-net-generator</x:v>
      </x:c>
      <x:c r="B495" s="18" t="str">
        <x:v>3d shape nets</x:v>
      </x:c>
      <x:c r="C495" s="19" t="n">
        <x:v>2400</x:v>
      </x:c>
      <x:c r="D495" s="18" t="str">
        <x:v>Sí</x:v>
      </x:c>
      <x:c r="E495" s="18" t="str">
        <x:v>2025-10 / 2026-09</x:v>
      </x:c>
      <x:c r="F495" s="18" t="str">
        <x:v>Global · sin filtro de idioma</x:v>
      </x:c>
      <x:c r="G495" s="18" t="str">
        <x:v>search_volume</x:v>
      </x:c>
      <x:c r="H495" s="18" t="str">
        <x:v>global-candidates.json</x:v>
      </x:c>
      <x:c r="I495" s="18" t="str">
        <x:v>10181909-1949-0367-0000-d6f424f63198</x:v>
      </x:c>
      <x:c r="J495" s="18" t="str">
        <x:v>No</x:v>
      </x:c>
    </x:row>
    <x:row r="496" ht="34" customHeight="1">
      <x:c r="A496" s="18" t="str">
        <x:v>geometry-net-generator</x:v>
      </x:c>
      <x:c r="B496" s="18" t="str">
        <x:v>polyhedron net</x:v>
      </x:c>
      <x:c r="C496" s="19" t="n">
        <x:v>720</x:v>
      </x:c>
      <x:c r="D496" s="18" t="str">
        <x:v>No</x:v>
      </x:c>
      <x:c r="E496" s="18" t="str">
        <x:v>2025-10 / 2026-09</x:v>
      </x:c>
      <x:c r="F496" s="18" t="str">
        <x:v>Global · sin filtro de idioma</x:v>
      </x:c>
      <x:c r="G496" s="18" t="str">
        <x:v>search_volume</x:v>
      </x:c>
      <x:c r="H496" s="18" t="str">
        <x:v>global-candidates.json</x:v>
      </x:c>
      <x:c r="I496" s="18" t="str">
        <x:v>10181909-1949-0367-0000-d6f424f63198</x:v>
      </x:c>
      <x:c r="J496" s="18" t="str">
        <x:v>No</x:v>
      </x:c>
    </x:row>
    <x:row r="497" ht="34" customHeight="1">
      <x:c r="A497" s="18" t="str">
        <x:v>geometry-net-generator</x:v>
      </x:c>
      <x:c r="B497" s="18" t="str">
        <x:v>desarrollo cuerpos geometricos</x:v>
      </x:c>
      <x:c r="C497" s="19" t="n">
        <x:v>90</x:v>
      </x:c>
      <x:c r="D497" s="18" t="str">
        <x:v>No</x:v>
      </x:c>
      <x:c r="E497" s="18" t="str">
        <x:v>2025-10 / 2026-09</x:v>
      </x:c>
      <x:c r="F497" s="18" t="str">
        <x:v>Global · sin filtro de idioma</x:v>
      </x:c>
      <x:c r="G497" s="18" t="str">
        <x:v>search_volume</x:v>
      </x:c>
      <x:c r="H497" s="18" t="str">
        <x:v>global-candidates.json</x:v>
      </x:c>
      <x:c r="I497" s="18" t="str">
        <x:v>10181909-1949-0367-0000-d6f424f63198</x:v>
      </x:c>
      <x:c r="J497" s="18" t="str">
        <x:v>No</x:v>
      </x:c>
    </x:row>
    <x:row r="498" ht="34" customHeight="1">
      <x:c r="A498" s="18" t="str">
        <x:v>linear-algebra-visualizer</x:v>
      </x:c>
      <x:c r="B498" s="18" t="str">
        <x:v>linear transformation visualizer</x:v>
      </x:c>
      <x:c r="C498" s="19" t="n">
        <x:v>320</x:v>
      </x:c>
      <x:c r="D498" s="18" t="str">
        <x:v>No</x:v>
      </x:c>
      <x:c r="E498" s="18" t="str">
        <x:v>2025-10 / 2026-09</x:v>
      </x:c>
      <x:c r="F498" s="18" t="str">
        <x:v>Global · sin filtro de idioma</x:v>
      </x:c>
      <x:c r="G498" s="18" t="str">
        <x:v>search_volume</x:v>
      </x:c>
      <x:c r="H498" s="18" t="str">
        <x:v>global-candidates.json</x:v>
      </x:c>
      <x:c r="I498" s="18" t="str">
        <x:v>10181909-1949-0367-0000-d6f424f63198</x:v>
      </x:c>
      <x:c r="J498" s="18" t="str">
        <x:v>No</x:v>
      </x:c>
    </x:row>
    <x:row r="499" ht="34" customHeight="1">
      <x:c r="A499" s="18" t="str">
        <x:v>linear-algebra-visualizer</x:v>
      </x:c>
      <x:c r="B499" s="18" t="str">
        <x:v>linear algebra visualizer</x:v>
      </x:c>
      <x:c r="C499" s="19" t="n">
        <x:v>320</x:v>
      </x:c>
      <x:c r="D499" s="18" t="str">
        <x:v>No</x:v>
      </x:c>
      <x:c r="E499" s="18" t="str">
        <x:v>2025-10 / 2026-09</x:v>
      </x:c>
      <x:c r="F499" s="18" t="str">
        <x:v>Global · sin filtro de idioma</x:v>
      </x:c>
      <x:c r="G499" s="18" t="str">
        <x:v>search_volume</x:v>
      </x:c>
      <x:c r="H499" s="18" t="str">
        <x:v>global-candidates.json</x:v>
      </x:c>
      <x:c r="I499" s="18" t="str">
        <x:v>10181909-1949-0367-0000-d6f424f63198</x:v>
      </x:c>
      <x:c r="J499" s="18" t="str">
        <x:v>No</x:v>
      </x:c>
    </x:row>
    <x:row r="500" ht="34" customHeight="1">
      <x:c r="A500" s="18" t="str">
        <x:v>linear-algebra-visualizer</x:v>
      </x:c>
      <x:c r="B500" s="18" t="str">
        <x:v>matrix transformation</x:v>
      </x:c>
      <x:c r="C500" s="19" t="n">
        <x:v>9900</x:v>
      </x:c>
      <x:c r="D500" s="18" t="str">
        <x:v>Sí</x:v>
      </x:c>
      <x:c r="E500" s="18" t="str">
        <x:v>2025-10 / 2026-09</x:v>
      </x:c>
      <x:c r="F500" s="18" t="str">
        <x:v>Global · sin filtro de idioma</x:v>
      </x:c>
      <x:c r="G500" s="18" t="str">
        <x:v>search_volume</x:v>
      </x:c>
      <x:c r="H500" s="18" t="str">
        <x:v>global-candidates.json</x:v>
      </x:c>
      <x:c r="I500" s="18" t="str">
        <x:v>10181909-1949-0367-0000-d6f424f63198</x:v>
      </x:c>
      <x:c r="J500" s="18" t="str">
        <x:v>No</x:v>
      </x:c>
    </x:row>
    <x:row r="501" ht="34" customHeight="1">
      <x:c r="A501" s="18" t="str">
        <x:v>unit-circle-trainer</x:v>
      </x:c>
      <x:c r="B501" s="18" t="str">
        <x:v>unit circle calculator</x:v>
      </x:c>
      <x:c r="C501" s="19" t="n">
        <x:v>1300</x:v>
      </x:c>
      <x:c r="D501" s="18" t="str">
        <x:v>Sí</x:v>
      </x:c>
      <x:c r="E501" s="18" t="str">
        <x:v>2025-10 / 2026-09</x:v>
      </x:c>
      <x:c r="F501" s="18" t="str">
        <x:v>Global · sin filtro de idioma</x:v>
      </x:c>
      <x:c r="G501" s="18" t="str">
        <x:v>search_volume</x:v>
      </x:c>
      <x:c r="H501" s="18" t="str">
        <x:v>global-candidates.json</x:v>
      </x:c>
      <x:c r="I501" s="18" t="str">
        <x:v>10181909-1949-0367-0000-d6f424f63198</x:v>
      </x:c>
      <x:c r="J501" s="18" t="str">
        <x:v>No</x:v>
      </x:c>
    </x:row>
    <x:row r="502" ht="34" customHeight="1">
      <x:c r="A502" s="18" t="str">
        <x:v>unit-circle-trainer</x:v>
      </x:c>
      <x:c r="B502" s="18" t="str">
        <x:v>interactive unit circle</x:v>
      </x:c>
      <x:c r="C502" s="19" t="n">
        <x:v>1000</x:v>
      </x:c>
      <x:c r="D502" s="18" t="str">
        <x:v>No</x:v>
      </x:c>
      <x:c r="E502" s="18" t="str">
        <x:v>2025-10 / 2026-09</x:v>
      </x:c>
      <x:c r="F502" s="18" t="str">
        <x:v>Global · sin filtro de idioma</x:v>
      </x:c>
      <x:c r="G502" s="18" t="str">
        <x:v>search_volume</x:v>
      </x:c>
      <x:c r="H502" s="18" t="str">
        <x:v>global-refinement.json</x:v>
      </x:c>
      <x:c r="I502" s="18" t="str">
        <x:v>10181917-1949-0367-0000-6ceea1dc515c</x:v>
      </x:c>
      <x:c r="J502" s="18" t="str">
        <x:v>No</x:v>
      </x:c>
    </x:row>
    <x:row r="503" ht="34" customHeight="1">
      <x:c r="A503" s="18" t="str">
        <x:v>venn-diagram-maker</x:v>
      </x:c>
      <x:c r="B503" s="18" t="str">
        <x:v>venn diagram maker</x:v>
      </x:c>
      <x:c r="C503" s="19" t="n">
        <x:v>27100</x:v>
      </x:c>
      <x:c r="D503" s="18" t="str">
        <x:v>Sí</x:v>
      </x:c>
      <x:c r="E503" s="18" t="str">
        <x:v>2025-10 / 2026-09</x:v>
      </x:c>
      <x:c r="F503" s="18" t="str">
        <x:v>Global · sin filtro de idioma</x:v>
      </x:c>
      <x:c r="G503" s="18" t="str">
        <x:v>search_volume</x:v>
      </x:c>
      <x:c r="H503" s="18" t="str">
        <x:v>global-initial-screen.json</x:v>
      </x:c>
      <x:c r="I503" s="18" t="str">
        <x:v>10181645-1949-0367-0000-721aab5cac1a</x:v>
      </x:c>
      <x:c r="J503" s="18" t="str">
        <x:v>No</x:v>
      </x:c>
    </x:row>
    <x:row r="504" ht="34" customHeight="1">
      <x:c r="A504" s="18" t="str">
        <x:v>chemical-structure-editor</x:v>
      </x:c>
      <x:c r="B504" s="18" t="str">
        <x:v>chemical structure editor</x:v>
      </x:c>
      <x:c r="C504" s="19" t="n">
        <x:v>50</x:v>
      </x:c>
      <x:c r="D504" s="18" t="str">
        <x:v>No</x:v>
      </x:c>
      <x:c r="E504" s="18" t="str">
        <x:v>2025-10 / 2026-09</x:v>
      </x:c>
      <x:c r="F504" s="18" t="str">
        <x:v>Global · sin filtro de idioma</x:v>
      </x:c>
      <x:c r="G504" s="18" t="str">
        <x:v>search_volume</x:v>
      </x:c>
      <x:c r="H504" s="18" t="str">
        <x:v>global-candidates.json</x:v>
      </x:c>
      <x:c r="I504" s="18" t="str">
        <x:v>10181909-1949-0367-0000-d6f424f63198</x:v>
      </x:c>
      <x:c r="J504" s="18" t="str">
        <x:v>No</x:v>
      </x:c>
    </x:row>
    <x:row r="505" ht="34" customHeight="1">
      <x:c r="A505" s="18" t="str">
        <x:v>chemical-structure-editor</x:v>
      </x:c>
      <x:c r="B505" s="18" t="str">
        <x:v>draw molecule</x:v>
      </x:c>
      <x:c r="C505" s="19" t="n">
        <x:v>6600</x:v>
      </x:c>
      <x:c r="D505" s="18" t="str">
        <x:v>No</x:v>
      </x:c>
      <x:c r="E505" s="18" t="str">
        <x:v>2025-10 / 2026-09</x:v>
      </x:c>
      <x:c r="F505" s="18" t="str">
        <x:v>Global · sin filtro de idioma</x:v>
      </x:c>
      <x:c r="G505" s="18" t="str">
        <x:v>search_volume</x:v>
      </x:c>
      <x:c r="H505" s="18" t="str">
        <x:v>global-candidates.json</x:v>
      </x:c>
      <x:c r="I505" s="18" t="str">
        <x:v>10181909-1949-0367-0000-d6f424f63198</x:v>
      </x:c>
      <x:c r="J505" s="18" t="str">
        <x:v>No</x:v>
      </x:c>
    </x:row>
    <x:row r="506" ht="34" customHeight="1">
      <x:c r="A506" s="18" t="str">
        <x:v>chemical-structure-editor</x:v>
      </x:c>
      <x:c r="B506" s="18" t="str">
        <x:v>structure drawing</x:v>
      </x:c>
      <x:c r="C506" s="19" t="n">
        <x:v>8100</x:v>
      </x:c>
      <x:c r="D506" s="18" t="str">
        <x:v>Sí</x:v>
      </x:c>
      <x:c r="E506" s="18" t="str">
        <x:v>2025-10 / 2026-09</x:v>
      </x:c>
      <x:c r="F506" s="18" t="str">
        <x:v>Global · sin filtro de idioma</x:v>
      </x:c>
      <x:c r="G506" s="18" t="str">
        <x:v>search_volume</x:v>
      </x:c>
      <x:c r="H506" s="18" t="str">
        <x:v>global-candidates.json</x:v>
      </x:c>
      <x:c r="I506" s="18" t="str">
        <x:v>10181909-1949-0367-0000-d6f424f63198</x:v>
      </x:c>
      <x:c r="J506" s="18" t="str">
        <x:v>No</x:v>
      </x:c>
    </x:row>
    <x:row r="507" ht="34" customHeight="1">
      <x:c r="A507" s="18" t="str">
        <x:v>chemical-name-resolver</x:v>
      </x:c>
      <x:c r="B507" s="18" t="str">
        <x:v>chemical name to structure</x:v>
      </x:c>
      <x:c r="C507" s="19" t="n">
        <x:v>170</x:v>
      </x:c>
      <x:c r="D507" s="18" t="str">
        <x:v>No</x:v>
      </x:c>
      <x:c r="E507" s="18" t="str">
        <x:v>2025-10 / 2026-09</x:v>
      </x:c>
      <x:c r="F507" s="18" t="str">
        <x:v>Global · sin filtro de idioma</x:v>
      </x:c>
      <x:c r="G507" s="18" t="str">
        <x:v>search_volume</x:v>
      </x:c>
      <x:c r="H507" s="18" t="str">
        <x:v>global-candidates.json</x:v>
      </x:c>
      <x:c r="I507" s="18" t="str">
        <x:v>10181909-1949-0367-0000-d6f424f63198</x:v>
      </x:c>
      <x:c r="J507" s="18" t="str">
        <x:v>No</x:v>
      </x:c>
    </x:row>
    <x:row r="508" ht="34" customHeight="1">
      <x:c r="A508" s="18" t="str">
        <x:v>chemical-name-resolver</x:v>
      </x:c>
      <x:c r="B508" s="18" t="str">
        <x:v>iupac name generator</x:v>
      </x:c>
      <x:c r="C508" s="19" t="n">
        <x:v>1900</x:v>
      </x:c>
      <x:c r="D508" s="18" t="str">
        <x:v>No</x:v>
      </x:c>
      <x:c r="E508" s="18" t="str">
        <x:v>2025-10 / 2026-09</x:v>
      </x:c>
      <x:c r="F508" s="18" t="str">
        <x:v>Global · sin filtro de idioma</x:v>
      </x:c>
      <x:c r="G508" s="18" t="str">
        <x:v>search_volume</x:v>
      </x:c>
      <x:c r="H508" s="18" t="str">
        <x:v>global-candidates.json</x:v>
      </x:c>
      <x:c r="I508" s="18" t="str">
        <x:v>10181909-1949-0367-0000-d6f424f63198</x:v>
      </x:c>
      <x:c r="J508" s="18" t="str">
        <x:v>No</x:v>
      </x:c>
    </x:row>
    <x:row r="509" ht="34" customHeight="1">
      <x:c r="A509" s="18" t="str">
        <x:v>chemical-name-resolver</x:v>
      </x:c>
      <x:c r="B509" s="18" t="str">
        <x:v>smiles to structure</x:v>
      </x:c>
      <x:c r="C509" s="19" t="n">
        <x:v>3600</x:v>
      </x:c>
      <x:c r="D509" s="18" t="str">
        <x:v>Sí</x:v>
      </x:c>
      <x:c r="E509" s="18" t="str">
        <x:v>2025-10 / 2026-09</x:v>
      </x:c>
      <x:c r="F509" s="18" t="str">
        <x:v>Global · sin filtro de idioma</x:v>
      </x:c>
      <x:c r="G509" s="18" t="str">
        <x:v>search_volume</x:v>
      </x:c>
      <x:c r="H509" s="18" t="str">
        <x:v>global-candidates.json</x:v>
      </x:c>
      <x:c r="I509" s="18" t="str">
        <x:v>10181909-1949-0367-0000-d6f424f63198</x:v>
      </x:c>
      <x:c r="J509" s="18" t="str">
        <x:v>No</x:v>
      </x:c>
    </x:row>
    <x:row r="510" ht="34" customHeight="1">
      <x:c r="A510" s="18" t="str">
        <x:v>reaction-mechanism-editor</x:v>
      </x:c>
      <x:c r="B510" s="18" t="str">
        <x:v>reaction mechanism</x:v>
      </x:c>
      <x:c r="C510" s="19" t="n">
        <x:v>6600</x:v>
      </x:c>
      <x:c r="D510" s="18" t="str">
        <x:v>Sí</x:v>
      </x:c>
      <x:c r="E510" s="18" t="str">
        <x:v>2025-10 / 2026-09</x:v>
      </x:c>
      <x:c r="F510" s="18" t="str">
        <x:v>Global · sin filtro de idioma</x:v>
      </x:c>
      <x:c r="G510" s="18" t="str">
        <x:v>search_volume</x:v>
      </x:c>
      <x:c r="H510" s="18" t="str">
        <x:v>global-candidates.json</x:v>
      </x:c>
      <x:c r="I510" s="18" t="str">
        <x:v>10181909-1949-0367-0000-d6f424f63198</x:v>
      </x:c>
      <x:c r="J510" s="18" t="str">
        <x:v>No</x:v>
      </x:c>
    </x:row>
    <x:row r="511" ht="34" customHeight="1">
      <x:c r="A511" s="18" t="str">
        <x:v>reaction-mechanism-editor</x:v>
      </x:c>
      <x:c r="B511" s="18" t="str">
        <x:v>reaction mechanism generator</x:v>
      </x:c>
      <x:c r="C511" s="19" t="n">
        <x:v>320</x:v>
      </x:c>
      <x:c r="D511" s="18" t="str">
        <x:v>No</x:v>
      </x:c>
      <x:c r="E511" s="18" t="str">
        <x:v>2025-10 / 2026-09</x:v>
      </x:c>
      <x:c r="F511" s="18" t="str">
        <x:v>Global · sin filtro de idioma</x:v>
      </x:c>
      <x:c r="G511" s="18" t="str">
        <x:v>search_volume</x:v>
      </x:c>
      <x:c r="H511" s="18" t="str">
        <x:v>global-candidates.json</x:v>
      </x:c>
      <x:c r="I511" s="18" t="str">
        <x:v>10181909-1949-0367-0000-d6f424f63198</x:v>
      </x:c>
      <x:c r="J511" s="18" t="str">
        <x:v>No</x:v>
      </x:c>
    </x:row>
    <x:row r="512" ht="34" customHeight="1">
      <x:c r="A512" s="18" t="str">
        <x:v>reaction-mechanism-editor</x:v>
      </x:c>
      <x:c r="B512" s="18" t="str">
        <x:v>draw reaction mechanism</x:v>
      </x:c>
      <x:c r="C512" s="19" t="n">
        <x:v>30</x:v>
      </x:c>
      <x:c r="D512" s="18" t="str">
        <x:v>No</x:v>
      </x:c>
      <x:c r="E512" s="18" t="str">
        <x:v>2025-10 / 2026-09</x:v>
      </x:c>
      <x:c r="F512" s="18" t="str">
        <x:v>Global · sin filtro de idioma</x:v>
      </x:c>
      <x:c r="G512" s="18" t="str">
        <x:v>search_volume</x:v>
      </x:c>
      <x:c r="H512" s="18" t="str">
        <x:v>global-candidates.json</x:v>
      </x:c>
      <x:c r="I512" s="18" t="str">
        <x:v>10181909-1949-0367-0000-d6f424f63198</x:v>
      </x:c>
      <x:c r="J512" s="18" t="str">
        <x:v>No</x:v>
      </x:c>
    </x:row>
    <x:row r="513" ht="34" customHeight="1">
      <x:c r="A513" s="18" t="str">
        <x:v>orbital-visualizer</x:v>
      </x:c>
      <x:c r="B513" s="18" t="str">
        <x:v>orbital viewer</x:v>
      </x:c>
      <x:c r="C513" s="19" t="n">
        <x:v>480</x:v>
      </x:c>
      <x:c r="D513" s="18" t="str">
        <x:v>No</x:v>
      </x:c>
      <x:c r="E513" s="18" t="str">
        <x:v>2025-10 / 2026-09</x:v>
      </x:c>
      <x:c r="F513" s="18" t="str">
        <x:v>Global · sin filtro de idioma</x:v>
      </x:c>
      <x:c r="G513" s="18" t="str">
        <x:v>search_volume</x:v>
      </x:c>
      <x:c r="H513" s="18" t="str">
        <x:v>global-candidates.json</x:v>
      </x:c>
      <x:c r="I513" s="18" t="str">
        <x:v>10181909-1949-0367-0000-d6f424f63198</x:v>
      </x:c>
      <x:c r="J513" s="18" t="str">
        <x:v>No</x:v>
      </x:c>
    </x:row>
    <x:row r="514" ht="34" customHeight="1">
      <x:c r="A514" s="18" t="str">
        <x:v>orbital-visualizer</x:v>
      </x:c>
      <x:c r="B514" s="18" t="str">
        <x:v>orbital diagram</x:v>
      </x:c>
      <x:c r="C514" s="19" t="n">
        <x:v>33100</x:v>
      </x:c>
      <x:c r="D514" s="18" t="str">
        <x:v>Sí</x:v>
      </x:c>
      <x:c r="E514" s="18" t="str">
        <x:v>2025-10 / 2026-09</x:v>
      </x:c>
      <x:c r="F514" s="18" t="str">
        <x:v>Global · sin filtro de idioma</x:v>
      </x:c>
      <x:c r="G514" s="18" t="str">
        <x:v>search_volume</x:v>
      </x:c>
      <x:c r="H514" s="18" t="str">
        <x:v>global-candidates.json</x:v>
      </x:c>
      <x:c r="I514" s="18" t="str">
        <x:v>10181909-1949-0367-0000-d6f424f63198</x:v>
      </x:c>
      <x:c r="J514" s="18" t="str">
        <x:v>No</x:v>
      </x:c>
    </x:row>
    <x:row r="515" ht="34" customHeight="1">
      <x:c r="A515" s="18" t="str">
        <x:v>electron-configuration</x:v>
      </x:c>
      <x:c r="B515" s="18" t="str">
        <x:v>electron configuration calculator</x:v>
      </x:c>
      <x:c r="C515" s="19" t="n">
        <x:v>590</x:v>
      </x:c>
      <x:c r="D515" s="18" t="str">
        <x:v>Sí</x:v>
      </x:c>
      <x:c r="E515" s="18" t="str">
        <x:v>2025-10 / 2026-09</x:v>
      </x:c>
      <x:c r="F515" s="18" t="str">
        <x:v>Global · sin filtro de idioma</x:v>
      </x:c>
      <x:c r="G515" s="18" t="str">
        <x:v>search_volume</x:v>
      </x:c>
      <x:c r="H515" s="18" t="str">
        <x:v>global-candidates.json</x:v>
      </x:c>
      <x:c r="I515" s="18" t="str">
        <x:v>10181909-1949-0367-0000-d6f424f63198</x:v>
      </x:c>
      <x:c r="J515" s="18" t="str">
        <x:v>No</x:v>
      </x:c>
    </x:row>
    <x:row r="516" ht="34" customHeight="1">
      <x:c r="A516" s="18" t="str">
        <x:v>chemical-safety-lookup</x:v>
      </x:c>
      <x:c r="B516" s="18" t="str">
        <x:v>sds search</x:v>
      </x:c>
      <x:c r="C516" s="19" t="n">
        <x:v>1000</x:v>
      </x:c>
      <x:c r="D516" s="18" t="str">
        <x:v>Sí</x:v>
      </x:c>
      <x:c r="E516" s="18" t="str">
        <x:v>2025-10 / 2026-09</x:v>
      </x:c>
      <x:c r="F516" s="18" t="str">
        <x:v>Global · sin filtro de idioma</x:v>
      </x:c>
      <x:c r="G516" s="18" t="str">
        <x:v>search_volume</x:v>
      </x:c>
      <x:c r="H516" s="18" t="str">
        <x:v>global-candidates.json</x:v>
      </x:c>
      <x:c r="I516" s="18" t="str">
        <x:v>10181909-1949-0367-0000-d6f424f63198</x:v>
      </x:c>
      <x:c r="J516" s="18" t="str">
        <x:v>No</x:v>
      </x:c>
    </x:row>
    <x:row r="517" ht="34" customHeight="1">
      <x:c r="A517" s="18" t="str">
        <x:v>enzyme-kinetics-calculator</x:v>
      </x:c>
      <x:c r="B517" s="18" t="str">
        <x:v>enzyme kinetics calculator</x:v>
      </x:c>
      <x:c r="C517" s="19" t="n">
        <x:v>50</x:v>
      </x:c>
      <x:c r="D517" s="18" t="str">
        <x:v>No</x:v>
      </x:c>
      <x:c r="E517" s="18" t="str">
        <x:v>2025-10 / 2026-09</x:v>
      </x:c>
      <x:c r="F517" s="18" t="str">
        <x:v>Global · sin filtro de idioma</x:v>
      </x:c>
      <x:c r="G517" s="18" t="str">
        <x:v>search_volume</x:v>
      </x:c>
      <x:c r="H517" s="18" t="str">
        <x:v>global-candidates.json</x:v>
      </x:c>
      <x:c r="I517" s="18" t="str">
        <x:v>10181909-1949-0367-0000-d6f424f63198</x:v>
      </x:c>
      <x:c r="J517" s="18" t="str">
        <x:v>No</x:v>
      </x:c>
    </x:row>
    <x:row r="518" ht="34" customHeight="1">
      <x:c r="A518" s="18" t="str">
        <x:v>enzyme-kinetics-calculator</x:v>
      </x:c>
      <x:c r="B518" s="18" t="str">
        <x:v>michaelis menten calculator</x:v>
      </x:c>
      <x:c r="C518" s="19" t="n">
        <x:v>30</x:v>
      </x:c>
      <x:c r="D518" s="18" t="str">
        <x:v>No</x:v>
      </x:c>
      <x:c r="E518" s="18" t="str">
        <x:v>2025-10 / 2026-09</x:v>
      </x:c>
      <x:c r="F518" s="18" t="str">
        <x:v>Global · sin filtro de idioma</x:v>
      </x:c>
      <x:c r="G518" s="18" t="str">
        <x:v>search_volume</x:v>
      </x:c>
      <x:c r="H518" s="18" t="str">
        <x:v>global-candidates.json</x:v>
      </x:c>
      <x:c r="I518" s="18" t="str">
        <x:v>10181909-1949-0367-0000-d6f424f63198</x:v>
      </x:c>
      <x:c r="J518" s="18" t="str">
        <x:v>No</x:v>
      </x:c>
    </x:row>
    <x:row r="519" ht="34" customHeight="1">
      <x:c r="A519" s="18" t="str">
        <x:v>enzyme-kinetics-calculator</x:v>
      </x:c>
      <x:c r="B519" s="18" t="str">
        <x:v>enzyme kinetics</x:v>
      </x:c>
      <x:c r="C519" s="19" t="n">
        <x:v>6600</x:v>
      </x:c>
      <x:c r="D519" s="18" t="str">
        <x:v>Sí</x:v>
      </x:c>
      <x:c r="E519" s="18" t="str">
        <x:v>2025-10 / 2026-09</x:v>
      </x:c>
      <x:c r="F519" s="18" t="str">
        <x:v>Global · sin filtro de idioma</x:v>
      </x:c>
      <x:c r="G519" s="18" t="str">
        <x:v>search_volume</x:v>
      </x:c>
      <x:c r="H519" s="18" t="str">
        <x:v>global-candidates.json</x:v>
      </x:c>
      <x:c r="I519" s="18" t="str">
        <x:v>10181909-1949-0367-0000-d6f424f63198</x:v>
      </x:c>
      <x:c r="J519" s="18" t="str">
        <x:v>No</x:v>
      </x:c>
    </x:row>
    <x:row r="520" ht="34" customHeight="1">
      <x:c r="A520" s="18" t="str">
        <x:v>genetic-cross-calculator</x:v>
      </x:c>
      <x:c r="B520" s="18" t="str">
        <x:v>punnett square calculator</x:v>
      </x:c>
      <x:c r="C520" s="19" t="n">
        <x:v>9900</x:v>
      </x:c>
      <x:c r="D520" s="18" t="str">
        <x:v>Sí</x:v>
      </x:c>
      <x:c r="E520" s="18" t="str">
        <x:v>2025-10 / 2026-09</x:v>
      </x:c>
      <x:c r="F520" s="18" t="str">
        <x:v>Global · sin filtro de idioma</x:v>
      </x:c>
      <x:c r="G520" s="18" t="str">
        <x:v>search_volume</x:v>
      </x:c>
      <x:c r="H520" s="18" t="str">
        <x:v>global-candidates.json</x:v>
      </x:c>
      <x:c r="I520" s="18" t="str">
        <x:v>10181909-1949-0367-0000-d6f424f63198</x:v>
      </x:c>
      <x:c r="J520" s="18" t="str">
        <x:v>No</x:v>
      </x:c>
    </x:row>
    <x:row r="521" ht="34" customHeight="1">
      <x:c r="A521" s="18" t="str">
        <x:v>hardy-weinberg-calculator</x:v>
      </x:c>
      <x:c r="B521" s="18" t="str">
        <x:v>hardy weinberg calculator</x:v>
      </x:c>
      <x:c r="C521" s="19" t="n">
        <x:v>590</x:v>
      </x:c>
      <x:c r="D521" s="18" t="str">
        <x:v>No</x:v>
      </x:c>
      <x:c r="E521" s="18" t="str">
        <x:v>2025-10 / 2026-09</x:v>
      </x:c>
      <x:c r="F521" s="18" t="str">
        <x:v>Global · sin filtro de idioma</x:v>
      </x:c>
      <x:c r="G521" s="18" t="str">
        <x:v>search_volume</x:v>
      </x:c>
      <x:c r="H521" s="18" t="str">
        <x:v>global-candidates.json</x:v>
      </x:c>
      <x:c r="I521" s="18" t="str">
        <x:v>10181909-1949-0367-0000-d6f424f63198</x:v>
      </x:c>
      <x:c r="J521" s="18" t="str">
        <x:v>No</x:v>
      </x:c>
    </x:row>
    <x:row r="522" ht="34" customHeight="1">
      <x:c r="A522" s="18" t="str">
        <x:v>hardy-weinberg-calculator</x:v>
      </x:c>
      <x:c r="B522" s="18" t="str">
        <x:v>hardy weinberg equilibrium</x:v>
      </x:c>
      <x:c r="C522" s="19" t="n">
        <x:v>49500</x:v>
      </x:c>
      <x:c r="D522" s="18" t="str">
        <x:v>Sí</x:v>
      </x:c>
      <x:c r="E522" s="18" t="str">
        <x:v>2025-10 / 2026-09</x:v>
      </x:c>
      <x:c r="F522" s="18" t="str">
        <x:v>Global · sin filtro de idioma</x:v>
      </x:c>
      <x:c r="G522" s="18" t="str">
        <x:v>search_volume</x:v>
      </x:c>
      <x:c r="H522" s="18" t="str">
        <x:v>global-candidates.json</x:v>
      </x:c>
      <x:c r="I522" s="18" t="str">
        <x:v>10181909-1949-0367-0000-d6f424f63198</x:v>
      </x:c>
      <x:c r="J522" s="18" t="str">
        <x:v>No</x:v>
      </x:c>
    </x:row>
    <x:row r="523" ht="34" customHeight="1">
      <x:c r="A523" s="18" t="str">
        <x:v>hardy-weinberg-calculator</x:v>
      </x:c>
      <x:c r="B523" s="18" t="str">
        <x:v>hardy weinberg</x:v>
      </x:c>
      <x:c r="C523" s="19" t="n">
        <x:v>14800</x:v>
      </x:c>
      <x:c r="D523" s="18" t="str">
        <x:v>No</x:v>
      </x:c>
      <x:c r="E523" s="18" t="str">
        <x:v>2025-10 / 2026-09</x:v>
      </x:c>
      <x:c r="F523" s="18" t="str">
        <x:v>Global · sin filtro de idioma</x:v>
      </x:c>
      <x:c r="G523" s="18" t="str">
        <x:v>search_volume</x:v>
      </x:c>
      <x:c r="H523" s="18" t="str">
        <x:v>global-candidates.json</x:v>
      </x:c>
      <x:c r="I523" s="18" t="str">
        <x:v>10181909-1949-0367-0000-d6f424f63198</x:v>
      </x:c>
      <x:c r="J523" s="18" t="str">
        <x:v>No</x:v>
      </x:c>
    </x:row>
    <x:row r="524" ht="34" customHeight="1">
      <x:c r="A524" s="18" t="str">
        <x:v>dna-sequence-tool</x:v>
      </x:c>
      <x:c r="B524" s="18" t="str">
        <x:v>dna to rna</x:v>
      </x:c>
      <x:c r="C524" s="19" t="n">
        <x:v>6600</x:v>
      </x:c>
      <x:c r="D524" s="18" t="str">
        <x:v>No</x:v>
      </x:c>
      <x:c r="E524" s="18" t="str">
        <x:v>2025-10 / 2026-09</x:v>
      </x:c>
      <x:c r="F524" s="18" t="str">
        <x:v>Global · sin filtro de idioma</x:v>
      </x:c>
      <x:c r="G524" s="18" t="str">
        <x:v>search_volume</x:v>
      </x:c>
      <x:c r="H524" s="18" t="str">
        <x:v>global-candidates.json</x:v>
      </x:c>
      <x:c r="I524" s="18" t="str">
        <x:v>10181909-1949-0367-0000-d6f424f63198</x:v>
      </x:c>
      <x:c r="J524" s="18" t="str">
        <x:v>No</x:v>
      </x:c>
    </x:row>
    <x:row r="525" ht="34" customHeight="1">
      <x:c r="A525" s="18" t="str">
        <x:v>dna-sequence-tool</x:v>
      </x:c>
      <x:c r="B525" s="18" t="str">
        <x:v>reverse complement</x:v>
      </x:c>
      <x:c r="C525" s="19" t="n">
        <x:v>40500</x:v>
      </x:c>
      <x:c r="D525" s="18" t="str">
        <x:v>Sí</x:v>
      </x:c>
      <x:c r="E525" s="18" t="str">
        <x:v>2025-10 / 2026-09</x:v>
      </x:c>
      <x:c r="F525" s="18" t="str">
        <x:v>Global · sin filtro de idioma</x:v>
      </x:c>
      <x:c r="G525" s="18" t="str">
        <x:v>search_volume</x:v>
      </x:c>
      <x:c r="H525" s="18" t="str">
        <x:v>global-candidates.json</x:v>
      </x:c>
      <x:c r="I525" s="18" t="str">
        <x:v>10181909-1949-0367-0000-d6f424f63198</x:v>
      </x:c>
      <x:c r="J525" s="18" t="str">
        <x:v>No</x:v>
      </x:c>
    </x:row>
    <x:row r="526" ht="34" customHeight="1">
      <x:c r="A526" s="18" t="str">
        <x:v>dna-sequence-tool</x:v>
      </x:c>
      <x:c r="B526" s="18" t="str">
        <x:v>dna translator</x:v>
      </x:c>
      <x:c r="C526" s="19" t="n">
        <x:v>14800</x:v>
      </x:c>
      <x:c r="D526" s="18" t="str">
        <x:v>No</x:v>
      </x:c>
      <x:c r="E526" s="18" t="str">
        <x:v>2025-10 / 2026-09</x:v>
      </x:c>
      <x:c r="F526" s="18" t="str">
        <x:v>Global · sin filtro de idioma</x:v>
      </x:c>
      <x:c r="G526" s="18" t="str">
        <x:v>search_volume</x:v>
      </x:c>
      <x:c r="H526" s="18" t="str">
        <x:v>global-candidates.json</x:v>
      </x:c>
      <x:c r="I526" s="18" t="str">
        <x:v>10181909-1949-0367-0000-d6f424f63198</x:v>
      </x:c>
      <x:c r="J526" s="18" t="str">
        <x:v>No</x:v>
      </x:c>
    </x:row>
    <x:row r="527" ht="34" customHeight="1">
      <x:c r="A527" s="18" t="str">
        <x:v>sequence-alignment</x:v>
      </x:c>
      <x:c r="B527" s="18" t="str">
        <x:v>sequence alignment</x:v>
      </x:c>
      <x:c r="C527" s="19" t="n">
        <x:v>5400</x:v>
      </x:c>
      <x:c r="D527" s="18" t="str">
        <x:v>Sí</x:v>
      </x:c>
      <x:c r="E527" s="18" t="str">
        <x:v>2025-10 / 2026-09</x:v>
      </x:c>
      <x:c r="F527" s="18" t="str">
        <x:v>Global · sin filtro de idioma</x:v>
      </x:c>
      <x:c r="G527" s="18" t="str">
        <x:v>search_volume</x:v>
      </x:c>
      <x:c r="H527" s="18" t="str">
        <x:v>global-candidates.json</x:v>
      </x:c>
      <x:c r="I527" s="18" t="str">
        <x:v>10181909-1949-0367-0000-d6f424f63198</x:v>
      </x:c>
      <x:c r="J527" s="18" t="str">
        <x:v>No</x:v>
      </x:c>
    </x:row>
    <x:row r="528" ht="34" customHeight="1">
      <x:c r="A528" s="18" t="str">
        <x:v>sequence-alignment</x:v>
      </x:c>
      <x:c r="B528" s="18" t="str">
        <x:v>dna alignment</x:v>
      </x:c>
      <x:c r="C528" s="19" t="n">
        <x:v>1900</x:v>
      </x:c>
      <x:c r="D528" s="18" t="str">
        <x:v>No</x:v>
      </x:c>
      <x:c r="E528" s="18" t="str">
        <x:v>2025-10 / 2026-09</x:v>
      </x:c>
      <x:c r="F528" s="18" t="str">
        <x:v>Global · sin filtro de idioma</x:v>
      </x:c>
      <x:c r="G528" s="18" t="str">
        <x:v>search_volume</x:v>
      </x:c>
      <x:c r="H528" s="18" t="str">
        <x:v>global-candidates.json</x:v>
      </x:c>
      <x:c r="I528" s="18" t="str">
        <x:v>10181909-1949-0367-0000-d6f424f63198</x:v>
      </x:c>
      <x:c r="J528" s="18" t="str">
        <x:v>No</x:v>
      </x:c>
    </x:row>
    <x:row r="529" ht="34" customHeight="1">
      <x:c r="A529" s="18" t="str">
        <x:v>sequence-alignment</x:v>
      </x:c>
      <x:c r="B529" s="18" t="str">
        <x:v>pairwise alignment</x:v>
      </x:c>
      <x:c r="C529" s="19" t="n">
        <x:v>3600</x:v>
      </x:c>
      <x:c r="D529" s="18" t="str">
        <x:v>No</x:v>
      </x:c>
      <x:c r="E529" s="18" t="str">
        <x:v>2025-10 / 2026-09</x:v>
      </x:c>
      <x:c r="F529" s="18" t="str">
        <x:v>Global · sin filtro de idioma</x:v>
      </x:c>
      <x:c r="G529" s="18" t="str">
        <x:v>search_volume</x:v>
      </x:c>
      <x:c r="H529" s="18" t="str">
        <x:v>global-candidates.json</x:v>
      </x:c>
      <x:c r="I529" s="18" t="str">
        <x:v>10181909-1949-0367-0000-d6f424f63198</x:v>
      </x:c>
      <x:c r="J529" s="18" t="str">
        <x:v>No</x:v>
      </x:c>
    </x:row>
    <x:row r="530" ht="34" customHeight="1">
      <x:c r="A530" s="18" t="str">
        <x:v>protein-structure-viewer</x:v>
      </x:c>
      <x:c r="B530" s="18" t="str">
        <x:v>protein structure viewer</x:v>
      </x:c>
      <x:c r="C530" s="19" t="n">
        <x:v>50</x:v>
      </x:c>
      <x:c r="D530" s="18" t="str">
        <x:v>No</x:v>
      </x:c>
      <x:c r="E530" s="18" t="str">
        <x:v>2025-10 / 2026-09</x:v>
      </x:c>
      <x:c r="F530" s="18" t="str">
        <x:v>Global · sin filtro de idioma</x:v>
      </x:c>
      <x:c r="G530" s="18" t="str">
        <x:v>search_volume</x:v>
      </x:c>
      <x:c r="H530" s="18" t="str">
        <x:v>global-candidates.json</x:v>
      </x:c>
      <x:c r="I530" s="18" t="str">
        <x:v>10181909-1949-0367-0000-d6f424f63198</x:v>
      </x:c>
      <x:c r="J530" s="18" t="str">
        <x:v>No</x:v>
      </x:c>
    </x:row>
    <x:row r="531" ht="34" customHeight="1">
      <x:c r="A531" s="18" t="str">
        <x:v>protein-structure-viewer</x:v>
      </x:c>
      <x:c r="B531" s="18" t="str">
        <x:v>pdb viewer</x:v>
      </x:c>
      <x:c r="C531" s="19" t="n">
        <x:v>1000</x:v>
      </x:c>
      <x:c r="D531" s="18" t="str">
        <x:v>Sí</x:v>
      </x:c>
      <x:c r="E531" s="18" t="str">
        <x:v>2025-10 / 2026-09</x:v>
      </x:c>
      <x:c r="F531" s="18" t="str">
        <x:v>Global · sin filtro de idioma</x:v>
      </x:c>
      <x:c r="G531" s="18" t="str">
        <x:v>search_volume</x:v>
      </x:c>
      <x:c r="H531" s="18" t="str">
        <x:v>global-candidates.json</x:v>
      </x:c>
      <x:c r="I531" s="18" t="str">
        <x:v>10181909-1949-0367-0000-d6f424f63198</x:v>
      </x:c>
      <x:c r="J531" s="18" t="str">
        <x:v>No</x:v>
      </x:c>
    </x:row>
    <x:row r="532" ht="34" customHeight="1">
      <x:c r="A532" s="18" t="str">
        <x:v>protein-structure-viewer</x:v>
      </x:c>
      <x:c r="B532" s="18" t="str">
        <x:v>protein viewer</x:v>
      </x:c>
      <x:c r="C532" s="19" t="n">
        <x:v>170</x:v>
      </x:c>
      <x:c r="D532" s="18" t="str">
        <x:v>No</x:v>
      </x:c>
      <x:c r="E532" s="18" t="str">
        <x:v>2025-10 / 2026-09</x:v>
      </x:c>
      <x:c r="F532" s="18" t="str">
        <x:v>Global · sin filtro de idioma</x:v>
      </x:c>
      <x:c r="G532" s="18" t="str">
        <x:v>search_volume</x:v>
      </x:c>
      <x:c r="H532" s="18" t="str">
        <x:v>global-candidates.json</x:v>
      </x:c>
      <x:c r="I532" s="18" t="str">
        <x:v>10181909-1949-0367-0000-d6f424f63198</x:v>
      </x:c>
      <x:c r="J532" s="18" t="str">
        <x:v>No</x:v>
      </x:c>
    </x:row>
    <x:row r="533" ht="34" customHeight="1">
      <x:c r="A533" s="18" t="str">
        <x:v>epidemiology-calculator</x:v>
      </x:c>
      <x:c r="B533" s="18" t="str">
        <x:v>odds ratio calculator</x:v>
      </x:c>
      <x:c r="C533" s="19" t="n">
        <x:v>4400</x:v>
      </x:c>
      <x:c r="D533" s="18" t="str">
        <x:v>Sí</x:v>
      </x:c>
      <x:c r="E533" s="18" t="str">
        <x:v>2025-10 / 2026-09</x:v>
      </x:c>
      <x:c r="F533" s="18" t="str">
        <x:v>Global · sin filtro de idioma</x:v>
      </x:c>
      <x:c r="G533" s="18" t="str">
        <x:v>search_volume</x:v>
      </x:c>
      <x:c r="H533" s="18" t="str">
        <x:v>global-candidates.json</x:v>
      </x:c>
      <x:c r="I533" s="18" t="str">
        <x:v>10181909-1949-0367-0000-d6f424f63198</x:v>
      </x:c>
      <x:c r="J533" s="18" t="str">
        <x:v>No</x:v>
      </x:c>
    </x:row>
    <x:row r="534" ht="34" customHeight="1">
      <x:c r="A534" s="18" t="str">
        <x:v>epidemiology-calculator</x:v>
      </x:c>
      <x:c r="B534" s="18" t="str">
        <x:v>relative risk calculator</x:v>
      </x:c>
      <x:c r="C534" s="19" t="n">
        <x:v>1600</x:v>
      </x:c>
      <x:c r="D534" s="18" t="str">
        <x:v>No</x:v>
      </x:c>
      <x:c r="E534" s="18" t="str">
        <x:v>2025-10 / 2026-09</x:v>
      </x:c>
      <x:c r="F534" s="18" t="str">
        <x:v>Global · sin filtro de idioma</x:v>
      </x:c>
      <x:c r="G534" s="18" t="str">
        <x:v>search_volume</x:v>
      </x:c>
      <x:c r="H534" s="18" t="str">
        <x:v>global-candidates.json</x:v>
      </x:c>
      <x:c r="I534" s="18" t="str">
        <x:v>10181909-1949-0367-0000-d6f424f63198</x:v>
      </x:c>
      <x:c r="J534" s="18" t="str">
        <x:v>No</x:v>
      </x:c>
    </x:row>
    <x:row r="535" ht="34" customHeight="1">
      <x:c r="A535" s="18" t="str">
        <x:v>epidemiology-calculator</x:v>
      </x:c>
      <x:c r="B535" s="18" t="str">
        <x:v>risk ratio calculator</x:v>
      </x:c>
      <x:c r="C535" s="19" t="n">
        <x:v>1600</x:v>
      </x:c>
      <x:c r="D535" s="18" t="str">
        <x:v>No</x:v>
      </x:c>
      <x:c r="E535" s="18" t="str">
        <x:v>2025-10 / 2026-09</x:v>
      </x:c>
      <x:c r="F535" s="18" t="str">
        <x:v>Global · sin filtro de idioma</x:v>
      </x:c>
      <x:c r="G535" s="18" t="str">
        <x:v>search_volume</x:v>
      </x:c>
      <x:c r="H535" s="18" t="str">
        <x:v>global-candidates.json</x:v>
      </x:c>
      <x:c r="I535" s="18" t="str">
        <x:v>10181909-1949-0367-0000-d6f424f63198</x:v>
      </x:c>
      <x:c r="J535" s="18" t="str">
        <x:v>No</x:v>
      </x:c>
    </x:row>
    <x:row r="536" ht="34" customHeight="1">
      <x:c r="A536" s="18" t="str">
        <x:v>roc-curve-calculator</x:v>
      </x:c>
      <x:c r="B536" s="18" t="str">
        <x:v>roc curve calculator</x:v>
      </x:c>
      <x:c r="C536" s="19" t="n">
        <x:v>140</x:v>
      </x:c>
      <x:c r="D536" s="18" t="str">
        <x:v>No</x:v>
      </x:c>
      <x:c r="E536" s="18" t="str">
        <x:v>2025-10 / 2026-09</x:v>
      </x:c>
      <x:c r="F536" s="18" t="str">
        <x:v>Global · sin filtro de idioma</x:v>
      </x:c>
      <x:c r="G536" s="18" t="str">
        <x:v>search_volume</x:v>
      </x:c>
      <x:c r="H536" s="18" t="str">
        <x:v>global-candidates.json</x:v>
      </x:c>
      <x:c r="I536" s="18" t="str">
        <x:v>10181909-1949-0367-0000-d6f424f63198</x:v>
      </x:c>
      <x:c r="J536" s="18" t="str">
        <x:v>No</x:v>
      </x:c>
    </x:row>
    <x:row r="537" ht="34" customHeight="1">
      <x:c r="A537" s="18" t="str">
        <x:v>roc-curve-calculator</x:v>
      </x:c>
      <x:c r="B537" s="18" t="str">
        <x:v>roc curve</x:v>
      </x:c>
      <x:c r="C537" s="19" t="n">
        <x:v>60500</x:v>
      </x:c>
      <x:c r="D537" s="18" t="str">
        <x:v>Sí</x:v>
      </x:c>
      <x:c r="E537" s="18" t="str">
        <x:v>2025-10 / 2026-09</x:v>
      </x:c>
      <x:c r="F537" s="18" t="str">
        <x:v>Global · sin filtro de idioma</x:v>
      </x:c>
      <x:c r="G537" s="18" t="str">
        <x:v>search_volume</x:v>
      </x:c>
      <x:c r="H537" s="18" t="str">
        <x:v>global-candidates.json</x:v>
      </x:c>
      <x:c r="I537" s="18" t="str">
        <x:v>10181909-1949-0367-0000-d6f424f63198</x:v>
      </x:c>
      <x:c r="J537" s="18" t="str">
        <x:v>No</x:v>
      </x:c>
    </x:row>
    <x:row r="538" ht="34" customHeight="1">
      <x:c r="A538" s="18" t="str">
        <x:v>roc-curve-calculator</x:v>
      </x:c>
      <x:c r="B538" s="18" t="str">
        <x:v>auc calculator</x:v>
      </x:c>
      <x:c r="C538" s="19" t="n">
        <x:v>2400</x:v>
      </x:c>
      <x:c r="D538" s="18" t="str">
        <x:v>No</x:v>
      </x:c>
      <x:c r="E538" s="18" t="str">
        <x:v>2025-10 / 2026-09</x:v>
      </x:c>
      <x:c r="F538" s="18" t="str">
        <x:v>Global · sin filtro de idioma</x:v>
      </x:c>
      <x:c r="G538" s="18" t="str">
        <x:v>search_volume</x:v>
      </x:c>
      <x:c r="H538" s="18" t="str">
        <x:v>global-candidates.json</x:v>
      </x:c>
      <x:c r="I538" s="18" t="str">
        <x:v>10181909-1949-0367-0000-d6f424f63198</x:v>
      </x:c>
      <x:c r="J538" s="18" t="str">
        <x:v>No</x:v>
      </x:c>
    </x:row>
    <x:row r="539" ht="34" customHeight="1">
      <x:c r="A539" s="18" t="str">
        <x:v>survival-analysis</x:v>
      </x:c>
      <x:c r="B539" s="18" t="str">
        <x:v>kaplan meier calculator</x:v>
      </x:c>
      <x:c r="C539" s="19" t="n">
        <x:v>50</x:v>
      </x:c>
      <x:c r="D539" s="18" t="str">
        <x:v>No</x:v>
      </x:c>
      <x:c r="E539" s="18" t="str">
        <x:v>2025-10 / 2026-09</x:v>
      </x:c>
      <x:c r="F539" s="18" t="str">
        <x:v>Global · sin filtro de idioma</x:v>
      </x:c>
      <x:c r="G539" s="18" t="str">
        <x:v>search_volume</x:v>
      </x:c>
      <x:c r="H539" s="18" t="str">
        <x:v>global-candidates.json</x:v>
      </x:c>
      <x:c r="I539" s="18" t="str">
        <x:v>10181909-1949-0367-0000-d6f424f63198</x:v>
      </x:c>
      <x:c r="J539" s="18" t="str">
        <x:v>No</x:v>
      </x:c>
    </x:row>
    <x:row r="540" ht="34" customHeight="1">
      <x:c r="A540" s="18" t="str">
        <x:v>survival-analysis</x:v>
      </x:c>
      <x:c r="B540" s="18" t="str">
        <x:v>survival analysis</x:v>
      </x:c>
      <x:c r="C540" s="19" t="n">
        <x:v>8100</x:v>
      </x:c>
      <x:c r="D540" s="18" t="str">
        <x:v>No</x:v>
      </x:c>
      <x:c r="E540" s="18" t="str">
        <x:v>2025-10 / 2026-09</x:v>
      </x:c>
      <x:c r="F540" s="18" t="str">
        <x:v>Global · sin filtro de idioma</x:v>
      </x:c>
      <x:c r="G540" s="18" t="str">
        <x:v>search_volume</x:v>
      </x:c>
      <x:c r="H540" s="18" t="str">
        <x:v>global-candidates.json</x:v>
      </x:c>
      <x:c r="I540" s="18" t="str">
        <x:v>10181909-1949-0367-0000-d6f424f63198</x:v>
      </x:c>
      <x:c r="J540" s="18" t="str">
        <x:v>No</x:v>
      </x:c>
    </x:row>
    <x:row r="541" ht="34" customHeight="1">
      <x:c r="A541" s="18" t="str">
        <x:v>survival-analysis</x:v>
      </x:c>
      <x:c r="B541" s="18" t="str">
        <x:v>kaplan meier curve</x:v>
      </x:c>
      <x:c r="C541" s="19" t="n">
        <x:v>14800</x:v>
      </x:c>
      <x:c r="D541" s="18" t="str">
        <x:v>Sí</x:v>
      </x:c>
      <x:c r="E541" s="18" t="str">
        <x:v>2025-10 / 2026-09</x:v>
      </x:c>
      <x:c r="F541" s="18" t="str">
        <x:v>Global · sin filtro de idioma</x:v>
      </x:c>
      <x:c r="G541" s="18" t="str">
        <x:v>search_volume</x:v>
      </x:c>
      <x:c r="H541" s="18" t="str">
        <x:v>global-candidates.json</x:v>
      </x:c>
      <x:c r="I541" s="18" t="str">
        <x:v>10181909-1949-0367-0000-d6f424f63198</x:v>
      </x:c>
      <x:c r="J541" s="18" t="str">
        <x:v>No</x:v>
      </x:c>
    </x:row>
    <x:row r="542" ht="34" customHeight="1">
      <x:c r="A542" s="18" t="str">
        <x:v>time-series-forecast</x:v>
      </x:c>
      <x:c r="B542" s="18" t="str">
        <x:v>time series forecasting</x:v>
      </x:c>
      <x:c r="C542" s="19" t="n">
        <x:v>6600</x:v>
      </x:c>
      <x:c r="D542" s="18" t="str">
        <x:v>Sí</x:v>
      </x:c>
      <x:c r="E542" s="18" t="str">
        <x:v>2025-10 / 2026-09</x:v>
      </x:c>
      <x:c r="F542" s="18" t="str">
        <x:v>Global · sin filtro de idioma</x:v>
      </x:c>
      <x:c r="G542" s="18" t="str">
        <x:v>search_volume</x:v>
      </x:c>
      <x:c r="H542" s="18" t="str">
        <x:v>global-candidates.json</x:v>
      </x:c>
      <x:c r="I542" s="18" t="str">
        <x:v>10181909-1949-0367-0000-d6f424f63198</x:v>
      </x:c>
      <x:c r="J542" s="18" t="str">
        <x:v>No</x:v>
      </x:c>
    </x:row>
    <x:row r="543" ht="34" customHeight="1">
      <x:c r="A543" s="18" t="str">
        <x:v>time-series-forecast</x:v>
      </x:c>
      <x:c r="B543" s="18" t="str">
        <x:v>forecast calculator</x:v>
      </x:c>
      <x:c r="C543" s="19" t="n">
        <x:v>590</x:v>
      </x:c>
      <x:c r="D543" s="18" t="str">
        <x:v>No</x:v>
      </x:c>
      <x:c r="E543" s="18" t="str">
        <x:v>2025-10 / 2026-09</x:v>
      </x:c>
      <x:c r="F543" s="18" t="str">
        <x:v>Global · sin filtro de idioma</x:v>
      </x:c>
      <x:c r="G543" s="18" t="str">
        <x:v>search_volume</x:v>
      </x:c>
      <x:c r="H543" s="18" t="str">
        <x:v>global-candidates.json</x:v>
      </x:c>
      <x:c r="I543" s="18" t="str">
        <x:v>10181909-1949-0367-0000-d6f424f63198</x:v>
      </x:c>
      <x:c r="J543" s="18" t="str">
        <x:v>No</x:v>
      </x:c>
    </x:row>
    <x:row r="544" ht="34" customHeight="1">
      <x:c r="A544" s="18" t="str">
        <x:v>time-series-forecast</x:v>
      </x:c>
      <x:c r="B544" s="18" t="str">
        <x:v>forecasting tool</x:v>
      </x:c>
      <x:c r="C544" s="19" t="n">
        <x:v>1000</x:v>
      </x:c>
      <x:c r="D544" s="18" t="str">
        <x:v>No</x:v>
      </x:c>
      <x:c r="E544" s="18" t="str">
        <x:v>2025-10 / 2026-09</x:v>
      </x:c>
      <x:c r="F544" s="18" t="str">
        <x:v>Global · sin filtro de idioma</x:v>
      </x:c>
      <x:c r="G544" s="18" t="str">
        <x:v>search_volume</x:v>
      </x:c>
      <x:c r="H544" s="18" t="str">
        <x:v>global-candidates.json</x:v>
      </x:c>
      <x:c r="I544" s="18" t="str">
        <x:v>10181909-1949-0367-0000-d6f424f63198</x:v>
      </x:c>
      <x:c r="J544" s="18" t="str">
        <x:v>No</x:v>
      </x:c>
    </x:row>
    <x:row r="545" ht="34" customHeight="1">
      <x:c r="A545" s="18" t="str">
        <x:v>monte-carlo-simulator</x:v>
      </x:c>
      <x:c r="B545" s="18" t="str">
        <x:v>monte carlo simulation</x:v>
      </x:c>
      <x:c r="C545" s="19" t="n">
        <x:v>110000</x:v>
      </x:c>
      <x:c r="D545" s="18" t="str">
        <x:v>Sí</x:v>
      </x:c>
      <x:c r="E545" s="18" t="str">
        <x:v>2025-10 / 2026-09</x:v>
      </x:c>
      <x:c r="F545" s="18" t="str">
        <x:v>Global · sin filtro de idioma</x:v>
      </x:c>
      <x:c r="G545" s="18" t="str">
        <x:v>search_volume</x:v>
      </x:c>
      <x:c r="H545" s="18" t="str">
        <x:v>global-candidates.json</x:v>
      </x:c>
      <x:c r="I545" s="18" t="str">
        <x:v>10181909-1949-0367-0000-d6f424f63198</x:v>
      </x:c>
      <x:c r="J545" s="18" t="str">
        <x:v>No</x:v>
      </x:c>
    </x:row>
    <x:row r="546" ht="34" customHeight="1">
      <x:c r="A546" s="18" t="str">
        <x:v>monte-carlo-simulator</x:v>
      </x:c>
      <x:c r="B546" s="18" t="str">
        <x:v>monte carlo simulator</x:v>
      </x:c>
      <x:c r="C546" s="19" t="n">
        <x:v>110000</x:v>
      </x:c>
      <x:c r="D546" s="18" t="str">
        <x:v>No</x:v>
      </x:c>
      <x:c r="E546" s="18" t="str">
        <x:v>2025-10 / 2026-09</x:v>
      </x:c>
      <x:c r="F546" s="18" t="str">
        <x:v>Global · sin filtro de idioma</x:v>
      </x:c>
      <x:c r="G546" s="18" t="str">
        <x:v>search_volume</x:v>
      </x:c>
      <x:c r="H546" s="18" t="str">
        <x:v>global-candidates.json</x:v>
      </x:c>
      <x:c r="I546" s="18" t="str">
        <x:v>10181909-1949-0367-0000-d6f424f63198</x:v>
      </x:c>
      <x:c r="J546" s="18" t="str">
        <x:v>No</x:v>
      </x:c>
    </x:row>
    <x:row r="547" ht="34" customHeight="1">
      <x:c r="A547" s="18" t="str">
        <x:v>monte-carlo-simulator</x:v>
      </x:c>
      <x:c r="B547" s="18" t="str">
        <x:v>simulacion montecarlo</x:v>
      </x:c>
      <x:c r="C547" s="19" t="n">
        <x:v>1300</x:v>
      </x:c>
      <x:c r="D547" s="18" t="str">
        <x:v>No</x:v>
      </x:c>
      <x:c r="E547" s="18" t="str">
        <x:v>2025-10 / 2026-09</x:v>
      </x:c>
      <x:c r="F547" s="18" t="str">
        <x:v>Global · sin filtro de idioma</x:v>
      </x:c>
      <x:c r="G547" s="18" t="str">
        <x:v>search_volume</x:v>
      </x:c>
      <x:c r="H547" s="18" t="str">
        <x:v>global-candidates.json</x:v>
      </x:c>
      <x:c r="I547" s="18" t="str">
        <x:v>10181909-1949-0367-0000-d6f424f63198</x:v>
      </x:c>
      <x:c r="J547" s="18" t="str">
        <x:v>No</x:v>
      </x:c>
    </x:row>
    <x:row r="548" ht="34" customHeight="1">
      <x:c r="A548" s="18" t="str">
        <x:v>queuing-calculator</x:v>
      </x:c>
      <x:c r="B548" s="18" t="str">
        <x:v>queueing calculator</x:v>
      </x:c>
      <x:c r="C548" s="19" t="n">
        <x:v>170</x:v>
      </x:c>
      <x:c r="D548" s="18" t="str">
        <x:v>Sí</x:v>
      </x:c>
      <x:c r="E548" s="18" t="str">
        <x:v>2025-10 / 2026-09</x:v>
      </x:c>
      <x:c r="F548" s="18" t="str">
        <x:v>Global · sin filtro de idioma</x:v>
      </x:c>
      <x:c r="G548" s="18" t="str">
        <x:v>search_volume</x:v>
      </x:c>
      <x:c r="H548" s="18" t="str">
        <x:v>global-candidates.json</x:v>
      </x:c>
      <x:c r="I548" s="18" t="str">
        <x:v>10181909-1949-0367-0000-d6f424f63198</x:v>
      </x:c>
      <x:c r="J548" s="18" t="str">
        <x:v>No</x:v>
      </x:c>
    </x:row>
    <x:row r="549" ht="34" customHeight="1">
      <x:c r="A549" s="18" t="str">
        <x:v>queuing-calculator</x:v>
      </x:c>
      <x:c r="B549" s="18" t="str">
        <x:v>mm1 calculator</x:v>
      </x:c>
      <x:c r="C549" s="19" t="n">
        <x:v>10</x:v>
      </x:c>
      <x:c r="D549" s="18" t="str">
        <x:v>No</x:v>
      </x:c>
      <x:c r="E549" s="18" t="str">
        <x:v>2025-10 / 2026-09</x:v>
      </x:c>
      <x:c r="F549" s="18" t="str">
        <x:v>Global · sin filtro de idioma</x:v>
      </x:c>
      <x:c r="G549" s="18" t="str">
        <x:v>search_volume</x:v>
      </x:c>
      <x:c r="H549" s="18" t="str">
        <x:v>global-candidates.json</x:v>
      </x:c>
      <x:c r="I549" s="18" t="str">
        <x:v>10181909-1949-0367-0000-d6f424f63198</x:v>
      </x:c>
      <x:c r="J549" s="18" t="str">
        <x:v>No</x:v>
      </x:c>
    </x:row>
    <x:row r="550" ht="34" customHeight="1">
      <x:c r="A550" s="18" t="str">
        <x:v>queuing-calculator</x:v>
      </x:c>
      <x:c r="B550" s="18" t="str">
        <x:v>queuing theory calculator</x:v>
      </x:c>
      <x:c r="C550" s="19" t="n">
        <x:v>170</x:v>
      </x:c>
      <x:c r="D550" s="18" t="str">
        <x:v>No</x:v>
      </x:c>
      <x:c r="E550" s="18" t="str">
        <x:v>2025-10 / 2026-09</x:v>
      </x:c>
      <x:c r="F550" s="18" t="str">
        <x:v>Global · sin filtro de idioma</x:v>
      </x:c>
      <x:c r="G550" s="18" t="str">
        <x:v>search_volume</x:v>
      </x:c>
      <x:c r="H550" s="18" t="str">
        <x:v>global-candidates.json</x:v>
      </x:c>
      <x:c r="I550" s="18" t="str">
        <x:v>10181909-1949-0367-0000-d6f424f63198</x:v>
      </x:c>
      <x:c r="J550" s="18" t="str">
        <x:v>No</x:v>
      </x:c>
    </x:row>
    <x:row r="551" ht="34" customHeight="1">
      <x:c r="A551" s="18" t="str">
        <x:v>control-system-simulator</x:v>
      </x:c>
      <x:c r="B551" s="18" t="str">
        <x:v>control system simulator</x:v>
      </x:c>
      <x:c r="C551" s="19" t="n">
        <x:v>90</x:v>
      </x:c>
      <x:c r="D551" s="18" t="str">
        <x:v>No</x:v>
      </x:c>
      <x:c r="E551" s="18" t="str">
        <x:v>2025-10 / 2026-09</x:v>
      </x:c>
      <x:c r="F551" s="18" t="str">
        <x:v>Global · sin filtro de idioma</x:v>
      </x:c>
      <x:c r="G551" s="18" t="str">
        <x:v>search_volume</x:v>
      </x:c>
      <x:c r="H551" s="18" t="str">
        <x:v>global-candidates.json</x:v>
      </x:c>
      <x:c r="I551" s="18" t="str">
        <x:v>10181909-1949-0367-0000-d6f424f63198</x:v>
      </x:c>
      <x:c r="J551" s="18" t="str">
        <x:v>No</x:v>
      </x:c>
    </x:row>
    <x:row r="552" ht="34" customHeight="1">
      <x:c r="A552" s="18" t="str">
        <x:v>control-system-simulator</x:v>
      </x:c>
      <x:c r="B552" s="18" t="str">
        <x:v>pid simulator</x:v>
      </x:c>
      <x:c r="C552" s="19" t="n">
        <x:v>2400</x:v>
      </x:c>
      <x:c r="D552" s="18" t="str">
        <x:v>No</x:v>
      </x:c>
      <x:c r="E552" s="18" t="str">
        <x:v>2025-10 / 2026-09</x:v>
      </x:c>
      <x:c r="F552" s="18" t="str">
        <x:v>Global · sin filtro de idioma</x:v>
      </x:c>
      <x:c r="G552" s="18" t="str">
        <x:v>search_volume</x:v>
      </x:c>
      <x:c r="H552" s="18" t="str">
        <x:v>global-candidates.json</x:v>
      </x:c>
      <x:c r="I552" s="18" t="str">
        <x:v>10181909-1949-0367-0000-d6f424f63198</x:v>
      </x:c>
      <x:c r="J552" s="18" t="str">
        <x:v>No</x:v>
      </x:c>
    </x:row>
    <x:row r="553" ht="34" customHeight="1">
      <x:c r="A553" s="18" t="str">
        <x:v>control-system-simulator</x:v>
      </x:c>
      <x:c r="B553" s="18" t="str">
        <x:v>pid tuning</x:v>
      </x:c>
      <x:c r="C553" s="19" t="n">
        <x:v>4400</x:v>
      </x:c>
      <x:c r="D553" s="18" t="str">
        <x:v>Sí</x:v>
      </x:c>
      <x:c r="E553" s="18" t="str">
        <x:v>2025-10 / 2026-09</x:v>
      </x:c>
      <x:c r="F553" s="18" t="str">
        <x:v>Global · sin filtro de idioma</x:v>
      </x:c>
      <x:c r="G553" s="18" t="str">
        <x:v>search_volume</x:v>
      </x:c>
      <x:c r="H553" s="18" t="str">
        <x:v>global-candidates.json</x:v>
      </x:c>
      <x:c r="I553" s="18" t="str">
        <x:v>10181909-1949-0367-0000-d6f424f63198</x:v>
      </x:c>
      <x:c r="J553" s="18" t="str">
        <x:v>No</x:v>
      </x:c>
    </x:row>
    <x:row r="554" ht="34" customHeight="1">
      <x:c r="A554" s="18" t="str">
        <x:v>optics-ray-tracer</x:v>
      </x:c>
      <x:c r="B554" s="18" t="str">
        <x:v>ray optics simulator</x:v>
      </x:c>
      <x:c r="C554" s="19" t="n">
        <x:v>1900</x:v>
      </x:c>
      <x:c r="D554" s="18" t="str">
        <x:v>No</x:v>
      </x:c>
      <x:c r="E554" s="18" t="str">
        <x:v>2025-10 / 2026-09</x:v>
      </x:c>
      <x:c r="F554" s="18" t="str">
        <x:v>Global · sin filtro de idioma</x:v>
      </x:c>
      <x:c r="G554" s="18" t="str">
        <x:v>search_volume</x:v>
      </x:c>
      <x:c r="H554" s="18" t="str">
        <x:v>global-candidates.json</x:v>
      </x:c>
      <x:c r="I554" s="18" t="str">
        <x:v>10181909-1949-0367-0000-d6f424f63198</x:v>
      </x:c>
      <x:c r="J554" s="18" t="str">
        <x:v>No</x:v>
      </x:c>
    </x:row>
    <x:row r="555" ht="34" customHeight="1">
      <x:c r="A555" s="18" t="str">
        <x:v>optics-ray-tracer</x:v>
      </x:c>
      <x:c r="B555" s="18" t="str">
        <x:v>lens simulator</x:v>
      </x:c>
      <x:c r="C555" s="19" t="n">
        <x:v>2400</x:v>
      </x:c>
      <x:c r="D555" s="18" t="str">
        <x:v>Sí</x:v>
      </x:c>
      <x:c r="E555" s="18" t="str">
        <x:v>2025-10 / 2026-09</x:v>
      </x:c>
      <x:c r="F555" s="18" t="str">
        <x:v>Global · sin filtro de idioma</x:v>
      </x:c>
      <x:c r="G555" s="18" t="str">
        <x:v>search_volume</x:v>
      </x:c>
      <x:c r="H555" s="18" t="str">
        <x:v>global-candidates.json</x:v>
      </x:c>
      <x:c r="I555" s="18" t="str">
        <x:v>10181909-1949-0367-0000-d6f424f63198</x:v>
      </x:c>
      <x:c r="J555" s="18" t="str">
        <x:v>No</x:v>
      </x:c>
    </x:row>
    <x:row r="556" ht="34" customHeight="1">
      <x:c r="A556" s="18" t="str">
        <x:v>optics-ray-tracer</x:v>
      </x:c>
      <x:c r="B556" s="18" t="str">
        <x:v>ray tracing optics</x:v>
      </x:c>
      <x:c r="C556" s="19" t="n">
        <x:v>170</x:v>
      </x:c>
      <x:c r="D556" s="18" t="str">
        <x:v>No</x:v>
      </x:c>
      <x:c r="E556" s="18" t="str">
        <x:v>2025-10 / 2026-09</x:v>
      </x:c>
      <x:c r="F556" s="18" t="str">
        <x:v>Global · sin filtro de idioma</x:v>
      </x:c>
      <x:c r="G556" s="18" t="str">
        <x:v>search_volume</x:v>
      </x:c>
      <x:c r="H556" s="18" t="str">
        <x:v>global-candidates.json</x:v>
      </x:c>
      <x:c r="I556" s="18" t="str">
        <x:v>10181909-1949-0367-0000-d6f424f63198</x:v>
      </x:c>
      <x:c r="J556" s="18" t="str">
        <x:v>No</x:v>
      </x:c>
    </x:row>
    <x:row r="557" ht="34" customHeight="1">
      <x:c r="A557" s="18" t="str">
        <x:v>sky-map</x:v>
      </x:c>
      <x:c r="B557" s="18" t="str">
        <x:v>sky map</x:v>
      </x:c>
      <x:c r="C557" s="19" t="n">
        <x:v>40500</x:v>
      </x:c>
      <x:c r="D557" s="18" t="str">
        <x:v>No</x:v>
      </x:c>
      <x:c r="E557" s="18" t="str">
        <x:v>2025-10 / 2026-09</x:v>
      </x:c>
      <x:c r="F557" s="18" t="str">
        <x:v>Global · sin filtro de idioma</x:v>
      </x:c>
      <x:c r="G557" s="18" t="str">
        <x:v>search_volume</x:v>
      </x:c>
      <x:c r="H557" s="18" t="str">
        <x:v>global-candidates.json</x:v>
      </x:c>
      <x:c r="I557" s="18" t="str">
        <x:v>10181909-1949-0367-0000-d6f424f63198</x:v>
      </x:c>
      <x:c r="J557" s="18" t="str">
        <x:v>No</x:v>
      </x:c>
    </x:row>
    <x:row r="558" ht="34" customHeight="1">
      <x:c r="A558" s="18" t="str">
        <x:v>sky-map</x:v>
      </x:c>
      <x:c r="B558" s="18" t="str">
        <x:v>star map</x:v>
      </x:c>
      <x:c r="C558" s="19" t="n">
        <x:v>49500</x:v>
      </x:c>
      <x:c r="D558" s="18" t="str">
        <x:v>Sí</x:v>
      </x:c>
      <x:c r="E558" s="18" t="str">
        <x:v>2025-10 / 2026-09</x:v>
      </x:c>
      <x:c r="F558" s="18" t="str">
        <x:v>Global · sin filtro de idioma</x:v>
      </x:c>
      <x:c r="G558" s="18" t="str">
        <x:v>search_volume</x:v>
      </x:c>
      <x:c r="H558" s="18" t="str">
        <x:v>global-candidates.json</x:v>
      </x:c>
      <x:c r="I558" s="18" t="str">
        <x:v>10181909-1949-0367-0000-d6f424f63198</x:v>
      </x:c>
      <x:c r="J558" s="18" t="str">
        <x:v>No</x:v>
      </x:c>
    </x:row>
    <x:row r="559" ht="34" customHeight="1">
      <x:c r="A559" s="18" t="str">
        <x:v>sky-map</x:v>
      </x:c>
      <x:c r="B559" s="18" t="str">
        <x:v>night sky map</x:v>
      </x:c>
      <x:c r="C559" s="19" t="n">
        <x:v>8100</x:v>
      </x:c>
      <x:c r="D559" s="18" t="str">
        <x:v>No</x:v>
      </x:c>
      <x:c r="E559" s="18" t="str">
        <x:v>2025-10 / 2026-09</x:v>
      </x:c>
      <x:c r="F559" s="18" t="str">
        <x:v>Global · sin filtro de idioma</x:v>
      </x:c>
      <x:c r="G559" s="18" t="str">
        <x:v>search_volume</x:v>
      </x:c>
      <x:c r="H559" s="18" t="str">
        <x:v>global-candidates.json</x:v>
      </x:c>
      <x:c r="I559" s="18" t="str">
        <x:v>10181909-1949-0367-0000-d6f424f63198</x:v>
      </x:c>
      <x:c r="J559" s="18" t="str">
        <x:v>No</x:v>
      </x:c>
    </x:row>
    <x:row r="560" ht="34" customHeight="1">
      <x:c r="A560" s="18" t="str">
        <x:v>weather-dashboard</x:v>
      </x:c>
      <x:c r="B560" s="18" t="str">
        <x:v>weather forecast</x:v>
      </x:c>
      <x:c r="C560" s="19" t="n">
        <x:v>4090000</x:v>
      </x:c>
      <x:c r="D560" s="18" t="str">
        <x:v>Sí</x:v>
      </x:c>
      <x:c r="E560" s="18" t="str">
        <x:v>2025-10 / 2026-09</x:v>
      </x:c>
      <x:c r="F560" s="18" t="str">
        <x:v>Global · sin filtro de idioma</x:v>
      </x:c>
      <x:c r="G560" s="18" t="str">
        <x:v>search_volume</x:v>
      </x:c>
      <x:c r="H560" s="18" t="str">
        <x:v>global-initial-screen.json</x:v>
      </x:c>
      <x:c r="I560" s="18" t="str">
        <x:v>10181645-1949-0367-0000-721aab5cac1a</x:v>
      </x:c>
      <x:c r="J560" s="18" t="str">
        <x:v>No</x:v>
      </x:c>
    </x:row>
    <x:row r="561" ht="34" customHeight="1">
      <x:c r="A561" s="18" t="str">
        <x:v>qibla-compass</x:v>
      </x:c>
      <x:c r="B561" s="18" t="str">
        <x:v>qibla direction</x:v>
      </x:c>
      <x:c r="C561" s="19" t="n">
        <x:v>823000</x:v>
      </x:c>
      <x:c r="D561" s="18" t="str">
        <x:v>Sí</x:v>
      </x:c>
      <x:c r="E561" s="18" t="str">
        <x:v>2025-10 / 2026-09</x:v>
      </x:c>
      <x:c r="F561" s="18" t="str">
        <x:v>Global · sin filtro de idioma</x:v>
      </x:c>
      <x:c r="G561" s="18" t="str">
        <x:v>keywords_for_keywords</x:v>
      </x:c>
      <x:c r="H561" s="18" t="str">
        <x:v>discovery-creative-learning.json</x:v>
      </x:c>
      <x:c r="I561" s="18" t="str">
        <x:v>10181858-1949-0368-0000-9053a93ddd50</x:v>
      </x:c>
      <x:c r="J561" s="18" t="str">
        <x:v>No</x:v>
      </x:c>
    </x:row>
    <x:row r="562" ht="34" customHeight="1">
      <x:c r="A562" s="18" t="str">
        <x:v>qibla-compass</x:v>
      </x:c>
      <x:c r="B562" s="18" t="str">
        <x:v>qibla compass</x:v>
      </x:c>
      <x:c r="C562" s="19" t="n">
        <x:v>40500</x:v>
      </x:c>
      <x:c r="D562" s="18" t="str">
        <x:v>No</x:v>
      </x:c>
      <x:c r="E562" s="18" t="str">
        <x:v>2025-10 / 2026-09</x:v>
      </x:c>
      <x:c r="F562" s="18" t="str">
        <x:v>Global · sin filtro de idioma</x:v>
      </x:c>
      <x:c r="G562" s="18" t="str">
        <x:v>keywords_for_keywords</x:v>
      </x:c>
      <x:c r="H562" s="18" t="str">
        <x:v>discovery-creative-learning.json</x:v>
      </x:c>
      <x:c r="I562" s="18" t="str">
        <x:v>10181858-1949-0368-0000-9053a93ddd50</x:v>
      </x:c>
      <x:c r="J562" s="18" t="str">
        <x:v>No</x:v>
      </x:c>
    </x:row>
    <x:row r="563" ht="34" customHeight="1">
      <x:c r="A563" s="18" t="str">
        <x:v>qibla-compass</x:v>
      </x:c>
      <x:c r="B563" s="18" t="str">
        <x:v>القبلة</x:v>
      </x:c>
      <x:c r="C563" s="19" t="n">
        <x:v>823000</x:v>
      </x:c>
      <x:c r="D563" s="18" t="str">
        <x:v>No</x:v>
      </x:c>
      <x:c r="E563" s="18" t="str">
        <x:v>2025-10 / 2026-09</x:v>
      </x:c>
      <x:c r="F563" s="18" t="str">
        <x:v>Global · sin filtro de idioma</x:v>
      </x:c>
      <x:c r="G563" s="18" t="str">
        <x:v>search_volume</x:v>
      </x:c>
      <x:c r="H563" s="18" t="str">
        <x:v>global-candidates.json</x:v>
      </x:c>
      <x:c r="I563" s="18" t="str">
        <x:v>10181909-1949-0367-0000-d6f424f63198</x:v>
      </x:c>
      <x:c r="J563" s="18" t="str">
        <x:v>No</x:v>
      </x:c>
    </x:row>
    <x:row r="564" ht="34" customHeight="1">
      <x:c r="A564" s="18" t="str">
        <x:v>prayer-beads-counter</x:v>
      </x:c>
      <x:c r="B564" s="18" t="str">
        <x:v>tasbih counter</x:v>
      </x:c>
      <x:c r="C564" s="19" t="n">
        <x:v>60500</x:v>
      </x:c>
      <x:c r="D564" s="18" t="str">
        <x:v>Sí</x:v>
      </x:c>
      <x:c r="E564" s="18" t="str">
        <x:v>2025-10 / 2026-09</x:v>
      </x:c>
      <x:c r="F564" s="18" t="str">
        <x:v>Global · sin filtro de idioma</x:v>
      </x:c>
      <x:c r="G564" s="18" t="str">
        <x:v>search_volume</x:v>
      </x:c>
      <x:c r="H564" s="18" t="str">
        <x:v>global-candidates.json</x:v>
      </x:c>
      <x:c r="I564" s="18" t="str">
        <x:v>10181909-1949-0367-0000-d6f424f63198</x:v>
      </x:c>
      <x:c r="J564" s="18" t="str">
        <x:v>No</x:v>
      </x:c>
    </x:row>
    <x:row r="565" ht="34" customHeight="1">
      <x:c r="A565" s="18" t="str">
        <x:v>prayer-beads-counter</x:v>
      </x:c>
      <x:c r="B565" s="18" t="str">
        <x:v>dhikr counter</x:v>
      </x:c>
      <x:c r="C565" s="19" t="n">
        <x:v>9900</x:v>
      </x:c>
      <x:c r="D565" s="18" t="str">
        <x:v>No</x:v>
      </x:c>
      <x:c r="E565" s="18" t="str">
        <x:v>2025-10 / 2026-09</x:v>
      </x:c>
      <x:c r="F565" s="18" t="str">
        <x:v>Global · sin filtro de idioma</x:v>
      </x:c>
      <x:c r="G565" s="18" t="str">
        <x:v>search_volume</x:v>
      </x:c>
      <x:c r="H565" s="18" t="str">
        <x:v>global-candidates.json</x:v>
      </x:c>
      <x:c r="I565" s="18" t="str">
        <x:v>10181909-1949-0367-0000-d6f424f63198</x:v>
      </x:c>
      <x:c r="J565" s="18" t="str">
        <x:v>No</x:v>
      </x:c>
    </x:row>
    <x:row r="566" ht="34" customHeight="1">
      <x:c r="A566" s="18" t="str">
        <x:v>prayer-beads-counter</x:v>
      </x:c>
      <x:c r="B566" s="18" t="str">
        <x:v>عداد التسبيح</x:v>
      </x:c>
      <x:c r="C566" s="19" t="n">
        <x:v>12100</x:v>
      </x:c>
      <x:c r="D566" s="18" t="str">
        <x:v>No</x:v>
      </x:c>
      <x:c r="E566" s="18" t="str">
        <x:v>2025-10 / 2026-09</x:v>
      </x:c>
      <x:c r="F566" s="18" t="str">
        <x:v>Global · sin filtro de idioma</x:v>
      </x:c>
      <x:c r="G566" s="18" t="str">
        <x:v>search_volume</x:v>
      </x:c>
      <x:c r="H566" s="18" t="str">
        <x:v>global-candidates.json</x:v>
      </x:c>
      <x:c r="I566" s="18" t="str">
        <x:v>10181909-1949-0367-0000-d6f424f63198</x:v>
      </x:c>
      <x:c r="J566" s="18" t="str">
        <x:v>No</x:v>
      </x:c>
    </x:row>
    <x:row r="567" ht="34" customHeight="1">
      <x:c r="A567" s="18" t="str">
        <x:v>zakat-calculator</x:v>
      </x:c>
      <x:c r="B567" s="18" t="str">
        <x:v>zakat calculator</x:v>
      </x:c>
      <x:c r="C567" s="19" t="n">
        <x:v>90500</x:v>
      </x:c>
      <x:c r="D567" s="18" t="str">
        <x:v>Sí</x:v>
      </x:c>
      <x:c r="E567" s="18" t="str">
        <x:v>2025-10 / 2026-09</x:v>
      </x:c>
      <x:c r="F567" s="18" t="str">
        <x:v>Global · sin filtro de idioma</x:v>
      </x:c>
      <x:c r="G567" s="18" t="str">
        <x:v>search_volume</x:v>
      </x:c>
      <x:c r="H567" s="18" t="str">
        <x:v>global-candidates.json</x:v>
      </x:c>
      <x:c r="I567" s="18" t="str">
        <x:v>10181909-1949-0367-0000-d6f424f63198</x:v>
      </x:c>
      <x:c r="J567" s="18" t="str">
        <x:v>No</x:v>
      </x:c>
    </x:row>
    <x:row r="568" ht="34" customHeight="1">
      <x:c r="A568" s="18" t="str">
        <x:v>zakat-calculator</x:v>
      </x:c>
      <x:c r="B568" s="18" t="str">
        <x:v>calculadora zakat</x:v>
      </x:c>
      <x:c r="C568" s="19" t="n">
        <x:v>50</x:v>
      </x:c>
      <x:c r="D568" s="18" t="str">
        <x:v>No</x:v>
      </x:c>
      <x:c r="E568" s="18" t="str">
        <x:v>2025-10 / 2026-09</x:v>
      </x:c>
      <x:c r="F568" s="18" t="str">
        <x:v>Global · sin filtro de idioma</x:v>
      </x:c>
      <x:c r="G568" s="18" t="str">
        <x:v>search_volume</x:v>
      </x:c>
      <x:c r="H568" s="18" t="str">
        <x:v>global-candidates.json</x:v>
      </x:c>
      <x:c r="I568" s="18" t="str">
        <x:v>10181909-1949-0367-0000-d6f424f63198</x:v>
      </x:c>
      <x:c r="J568" s="18" t="str">
        <x:v>No</x:v>
      </x:c>
    </x:row>
    <x:row r="569" ht="34" customHeight="1">
      <x:c r="A569" s="18" t="str">
        <x:v>zakat-calculator</x:v>
      </x:c>
      <x:c r="B569" s="18" t="str">
        <x:v>حاسبة الزكاة</x:v>
      </x:c>
      <x:c r="C569" s="19" t="n">
        <x:v>9900</x:v>
      </x:c>
      <x:c r="D569" s="18" t="str">
        <x:v>No</x:v>
      </x:c>
      <x:c r="E569" s="18" t="str">
        <x:v>2025-10 / 2026-09</x:v>
      </x:c>
      <x:c r="F569" s="18" t="str">
        <x:v>Global · sin filtro de idioma</x:v>
      </x:c>
      <x:c r="G569" s="18" t="str">
        <x:v>search_volume</x:v>
      </x:c>
      <x:c r="H569" s="18" t="str">
        <x:v>global-candidates.json</x:v>
      </x:c>
      <x:c r="I569" s="18" t="str">
        <x:v>10181909-1949-0367-0000-d6f424f63198</x:v>
      </x:c>
      <x:c r="J569" s="18" t="str">
        <x:v>No</x:v>
      </x:c>
    </x:row>
    <x:row r="570" ht="34" customHeight="1">
      <x:c r="A570" s="18" t="str">
        <x:v>inheritance-shares-calculator</x:v>
      </x:c>
      <x:c r="B570" s="18" t="str">
        <x:v>islamic inheritance calculator</x:v>
      </x:c>
      <x:c r="C570" s="19" t="n">
        <x:v>12100</x:v>
      </x:c>
      <x:c r="D570" s="18" t="str">
        <x:v>Sí</x:v>
      </x:c>
      <x:c r="E570" s="18" t="str">
        <x:v>2025-10 / 2026-09</x:v>
      </x:c>
      <x:c r="F570" s="18" t="str">
        <x:v>Global · sin filtro de idioma</x:v>
      </x:c>
      <x:c r="G570" s="18" t="str">
        <x:v>search_volume</x:v>
      </x:c>
      <x:c r="H570" s="18" t="str">
        <x:v>global-candidates.json</x:v>
      </x:c>
      <x:c r="I570" s="18" t="str">
        <x:v>10181909-1949-0367-0000-d6f424f63198</x:v>
      </x:c>
      <x:c r="J570" s="18" t="str">
        <x:v>No</x:v>
      </x:c>
    </x:row>
    <x:row r="571" ht="34" customHeight="1">
      <x:c r="A571" s="18" t="str">
        <x:v>inheritance-shares-calculator</x:v>
      </x:c>
      <x:c r="B571" s="18" t="str">
        <x:v>faraid calculator</x:v>
      </x:c>
      <x:c r="C571" s="19" t="n">
        <x:v>8100</x:v>
      </x:c>
      <x:c r="D571" s="18" t="str">
        <x:v>No</x:v>
      </x:c>
      <x:c r="E571" s="18" t="str">
        <x:v>2025-10 / 2026-09</x:v>
      </x:c>
      <x:c r="F571" s="18" t="str">
        <x:v>Global · sin filtro de idioma</x:v>
      </x:c>
      <x:c r="G571" s="18" t="str">
        <x:v>search_volume</x:v>
      </x:c>
      <x:c r="H571" s="18" t="str">
        <x:v>global-candidates.json</x:v>
      </x:c>
      <x:c r="I571" s="18" t="str">
        <x:v>10181909-1949-0367-0000-d6f424f63198</x:v>
      </x:c>
      <x:c r="J571" s="18" t="str">
        <x:v>No</x:v>
      </x:c>
    </x:row>
    <x:row r="572" ht="34" customHeight="1">
      <x:c r="A572" s="18" t="str">
        <x:v>inheritance-shares-calculator</x:v>
      </x:c>
      <x:c r="B572" s="18" t="str">
        <x:v>حاسبة المواريث</x:v>
      </x:c>
      <x:c r="C572" s="19" t="n">
        <x:v>9900</x:v>
      </x:c>
      <x:c r="D572" s="18" t="str">
        <x:v>No</x:v>
      </x:c>
      <x:c r="E572" s="18" t="str">
        <x:v>2025-10 / 2026-09</x:v>
      </x:c>
      <x:c r="F572" s="18" t="str">
        <x:v>Global · sin filtro de idioma</x:v>
      </x:c>
      <x:c r="G572" s="18" t="str">
        <x:v>search_volume</x:v>
      </x:c>
      <x:c r="H572" s="18" t="str">
        <x:v>global-candidates.json</x:v>
      </x:c>
      <x:c r="I572" s="18" t="str">
        <x:v>10181909-1949-0367-0000-d6f424f63198</x:v>
      </x:c>
      <x:c r="J572" s="18" t="str">
        <x:v>No</x:v>
      </x:c>
    </x:row>
    <x:row r="573" ht="34" customHeight="1">
      <x:c r="A573" s="18" t="str">
        <x:v>wedding-planner</x:v>
      </x:c>
      <x:c r="B573" s="18" t="str">
        <x:v>wedding planning tool</x:v>
      </x:c>
      <x:c r="C573" s="19" t="n">
        <x:v>33100</x:v>
      </x:c>
      <x:c r="D573" s="18" t="str">
        <x:v>Sí</x:v>
      </x:c>
      <x:c r="E573" s="18" t="str">
        <x:v>2025-10 / 2026-09</x:v>
      </x:c>
      <x:c r="F573" s="18" t="str">
        <x:v>Global · sin filtro de idioma</x:v>
      </x:c>
      <x:c r="G573" s="18" t="str">
        <x:v>search_volume</x:v>
      </x:c>
      <x:c r="H573" s="18" t="str">
        <x:v>global-refinement.json</x:v>
      </x:c>
      <x:c r="I573" s="18" t="str">
        <x:v>10181917-1949-0367-0000-6ceea1dc515c</x:v>
      </x:c>
      <x:c r="J573" s="18" t="str">
        <x:v>No</x:v>
      </x:c>
    </x:row>
    <x:row r="574" ht="34" customHeight="1">
      <x:c r="A574" s="18" t="str">
        <x:v>wedding-planner</x:v>
      </x:c>
      <x:c r="B574" s="18" t="str">
        <x:v>wedding planner online</x:v>
      </x:c>
      <x:c r="C574" s="19" t="n">
        <x:v>1900</x:v>
      </x:c>
      <x:c r="D574" s="18" t="str">
        <x:v>No</x:v>
      </x:c>
      <x:c r="E574" s="18" t="str">
        <x:v>2025-10 / 2026-09</x:v>
      </x:c>
      <x:c r="F574" s="18" t="str">
        <x:v>Global · sin filtro de idioma</x:v>
      </x:c>
      <x:c r="G574" s="18" t="str">
        <x:v>search_volume</x:v>
      </x:c>
      <x:c r="H574" s="18" t="str">
        <x:v>global-refinement.json</x:v>
      </x:c>
      <x:c r="I574" s="18" t="str">
        <x:v>10181917-1949-0367-0000-6ceea1dc515c</x:v>
      </x:c>
      <x:c r="J574" s="18" t="str">
        <x:v>No</x:v>
      </x:c>
    </x:row>
    <x:row r="575" ht="34" customHeight="1">
      <x:c r="A575" s="18" t="str">
        <x:v>travel-route-optimizer</x:v>
      </x:c>
      <x:c r="B575" s="18" t="str">
        <x:v>route planner</x:v>
      </x:c>
      <x:c r="C575" s="19" t="n">
        <x:v>201000</x:v>
      </x:c>
      <x:c r="D575" s="18" t="str">
        <x:v>Sí</x:v>
      </x:c>
      <x:c r="E575" s="18" t="str">
        <x:v>2025-10 / 2026-09</x:v>
      </x:c>
      <x:c r="F575" s="18" t="str">
        <x:v>Global · sin filtro de idioma</x:v>
      </x:c>
      <x:c r="G575" s="18" t="str">
        <x:v>search_volume</x:v>
      </x:c>
      <x:c r="H575" s="18" t="str">
        <x:v>global-candidates.json</x:v>
      </x:c>
      <x:c r="I575" s="18" t="str">
        <x:v>10181909-1949-0367-0000-d6f424f63198</x:v>
      </x:c>
      <x:c r="J575" s="18" t="str">
        <x:v>No</x:v>
      </x:c>
    </x:row>
    <x:row r="576" ht="34" customHeight="1">
      <x:c r="A576" s="18" t="str">
        <x:v>travel-route-optimizer</x:v>
      </x:c>
      <x:c r="B576" s="18" t="str">
        <x:v>route optimizer</x:v>
      </x:c>
      <x:c r="C576" s="19" t="n">
        <x:v>4400</x:v>
      </x:c>
      <x:c r="D576" s="18" t="str">
        <x:v>No</x:v>
      </x:c>
      <x:c r="E576" s="18" t="str">
        <x:v>2025-10 / 2026-09</x:v>
      </x:c>
      <x:c r="F576" s="18" t="str">
        <x:v>Global · sin filtro de idioma</x:v>
      </x:c>
      <x:c r="G576" s="18" t="str">
        <x:v>search_volume</x:v>
      </x:c>
      <x:c r="H576" s="18" t="str">
        <x:v>global-candidates.json</x:v>
      </x:c>
      <x:c r="I576" s="18" t="str">
        <x:v>10181909-1949-0367-0000-d6f424f63198</x:v>
      </x:c>
      <x:c r="J576" s="18" t="str">
        <x:v>No</x:v>
      </x:c>
    </x:row>
    <x:row r="577" ht="34" customHeight="1">
      <x:c r="A577" s="18" t="str">
        <x:v>travel-route-optimizer</x:v>
      </x:c>
      <x:c r="B577" s="18" t="str">
        <x:v>planificador rutas</x:v>
      </x:c>
      <x:c r="C577" s="19" t="n">
        <x:v>70</x:v>
      </x:c>
      <x:c r="D577" s="18" t="str">
        <x:v>No</x:v>
      </x:c>
      <x:c r="E577" s="18" t="str">
        <x:v>2025-10 / 2026-09</x:v>
      </x:c>
      <x:c r="F577" s="18" t="str">
        <x:v>Global · sin filtro de idioma</x:v>
      </x:c>
      <x:c r="G577" s="18" t="str">
        <x:v>search_volume</x:v>
      </x:c>
      <x:c r="H577" s="18" t="str">
        <x:v>global-candidates.json</x:v>
      </x:c>
      <x:c r="I577" s="18" t="str">
        <x:v>10181909-1949-0367-0000-d6f424f63198</x:v>
      </x:c>
      <x:c r="J577" s="18" t="str">
        <x:v>No</x:v>
      </x:c>
    </x:row>
    <x:row r="578" ht="34" customHeight="1">
      <x:c r="A578" s="18" t="str">
        <x:v>gpx-track-editor</x:v>
      </x:c>
      <x:c r="B578" s="18" t="str">
        <x:v>gpx editor</x:v>
      </x:c>
      <x:c r="C578" s="19" t="n">
        <x:v>8100</x:v>
      </x:c>
      <x:c r="D578" s="18" t="str">
        <x:v>No</x:v>
      </x:c>
      <x:c r="E578" s="18" t="str">
        <x:v>2025-10 / 2026-09</x:v>
      </x:c>
      <x:c r="F578" s="18" t="str">
        <x:v>Global · sin filtro de idioma</x:v>
      </x:c>
      <x:c r="G578" s="18" t="str">
        <x:v>search_volume</x:v>
      </x:c>
      <x:c r="H578" s="18" t="str">
        <x:v>global-candidates.json</x:v>
      </x:c>
      <x:c r="I578" s="18" t="str">
        <x:v>10181909-1949-0367-0000-d6f424f63198</x:v>
      </x:c>
      <x:c r="J578" s="18" t="str">
        <x:v>No</x:v>
      </x:c>
    </x:row>
    <x:row r="579" ht="34" customHeight="1">
      <x:c r="A579" s="18" t="str">
        <x:v>gpx-track-editor</x:v>
      </x:c>
      <x:c r="B579" s="18" t="str">
        <x:v>gpx viewer</x:v>
      </x:c>
      <x:c r="C579" s="19" t="n">
        <x:v>22200</x:v>
      </x:c>
      <x:c r="D579" s="18" t="str">
        <x:v>Sí</x:v>
      </x:c>
      <x:c r="E579" s="18" t="str">
        <x:v>2025-10 / 2026-09</x:v>
      </x:c>
      <x:c r="F579" s="18" t="str">
        <x:v>Global · sin filtro de idioma</x:v>
      </x:c>
      <x:c r="G579" s="18" t="str">
        <x:v>search_volume</x:v>
      </x:c>
      <x:c r="H579" s="18" t="str">
        <x:v>global-candidates.json</x:v>
      </x:c>
      <x:c r="I579" s="18" t="str">
        <x:v>10181909-1949-0367-0000-d6f424f63198</x:v>
      </x:c>
      <x:c r="J579" s="18" t="str">
        <x:v>No</x:v>
      </x:c>
    </x:row>
    <x:row r="580" ht="34" customHeight="1">
      <x:c r="A580" s="18" t="str">
        <x:v>gpx-track-editor</x:v>
      </x:c>
      <x:c r="B580" s="18" t="str">
        <x:v>edit gpx</x:v>
      </x:c>
      <x:c r="C580" s="19" t="n">
        <x:v>8100</x:v>
      </x:c>
      <x:c r="D580" s="18" t="str">
        <x:v>No</x:v>
      </x:c>
      <x:c r="E580" s="18" t="str">
        <x:v>2025-10 / 2026-09</x:v>
      </x:c>
      <x:c r="F580" s="18" t="str">
        <x:v>Global · sin filtro de idioma</x:v>
      </x:c>
      <x:c r="G580" s="18" t="str">
        <x:v>search_volume</x:v>
      </x:c>
      <x:c r="H580" s="18" t="str">
        <x:v>global-candidates.json</x:v>
      </x:c>
      <x:c r="I580" s="18" t="str">
        <x:v>10181909-1949-0367-0000-d6f424f63198</x:v>
      </x:c>
      <x:c r="J580" s="18" t="str">
        <x:v>No</x:v>
      </x:c>
    </x:row>
    <x:row r="581" ht="34" customHeight="1">
      <x:c r="A581" s="18" t="str">
        <x:v>public-transit-planner</x:v>
      </x:c>
      <x:c r="B581" s="18" t="str">
        <x:v>bus route planner</x:v>
      </x:c>
      <x:c r="C581" s="19" t="n">
        <x:v>8100</x:v>
      </x:c>
      <x:c r="D581" s="18" t="str">
        <x:v>No</x:v>
      </x:c>
      <x:c r="E581" s="18" t="str">
        <x:v>2025-10 / 2026-09</x:v>
      </x:c>
      <x:c r="F581" s="18" t="str">
        <x:v>Global · sin filtro de idioma</x:v>
      </x:c>
      <x:c r="G581" s="18" t="str">
        <x:v>search_volume</x:v>
      </x:c>
      <x:c r="H581" s="18" t="str">
        <x:v>global-candidates.json</x:v>
      </x:c>
      <x:c r="I581" s="18" t="str">
        <x:v>10181909-1949-0367-0000-d6f424f63198</x:v>
      </x:c>
      <x:c r="J581" s="18" t="str">
        <x:v>No</x:v>
      </x:c>
    </x:row>
    <x:row r="582" ht="34" customHeight="1">
      <x:c r="A582" s="18" t="str">
        <x:v>public-transit-planner</x:v>
      </x:c>
      <x:c r="B582" s="18" t="str">
        <x:v>transit planner</x:v>
      </x:c>
      <x:c r="C582" s="19" t="n">
        <x:v>1300</x:v>
      </x:c>
      <x:c r="D582" s="18" t="str">
        <x:v>No</x:v>
      </x:c>
      <x:c r="E582" s="18" t="str">
        <x:v>2025-10 / 2026-09</x:v>
      </x:c>
      <x:c r="F582" s="18" t="str">
        <x:v>Global · sin filtro de idioma</x:v>
      </x:c>
      <x:c r="G582" s="18" t="str">
        <x:v>search_volume</x:v>
      </x:c>
      <x:c r="H582" s="18" t="str">
        <x:v>global-candidates.json</x:v>
      </x:c>
      <x:c r="I582" s="18" t="str">
        <x:v>10181909-1949-0367-0000-d6f424f63198</x:v>
      </x:c>
      <x:c r="J582" s="18" t="str">
        <x:v>No</x:v>
      </x:c>
    </x:row>
    <x:row r="583" ht="34" customHeight="1">
      <x:c r="A583" s="18" t="str">
        <x:v>public-transit-planner</x:v>
      </x:c>
      <x:c r="B583" s="18" t="str">
        <x:v>journey planner</x:v>
      </x:c>
      <x:c r="C583" s="19" t="n">
        <x:v>368000</x:v>
      </x:c>
      <x:c r="D583" s="18" t="str">
        <x:v>Sí</x:v>
      </x:c>
      <x:c r="E583" s="18" t="str">
        <x:v>2025-10 / 2026-09</x:v>
      </x:c>
      <x:c r="F583" s="18" t="str">
        <x:v>Global · sin filtro de idioma</x:v>
      </x:c>
      <x:c r="G583" s="18" t="str">
        <x:v>search_volume</x:v>
      </x:c>
      <x:c r="H583" s="18" t="str">
        <x:v>global-candidates.json</x:v>
      </x:c>
      <x:c r="I583" s="18" t="str">
        <x:v>10181909-1949-0367-0000-d6f424f63198</x:v>
      </x:c>
      <x:c r="J583" s="18" t="str">
        <x:v>No</x:v>
      </x:c>
    </x:row>
    <x:row r="584" ht="34" customHeight="1">
      <x:c r="A584" s="18" t="str">
        <x:v>public-transit-planner</x:v>
      </x:c>
      <x:c r="B584" s="18" t="str">
        <x:v>public transport route planner</x:v>
      </x:c>
      <x:c r="C584" s="19" t="n">
        <x:v>720</x:v>
      </x:c>
      <x:c r="D584" s="18" t="str">
        <x:v>No</x:v>
      </x:c>
      <x:c r="E584" s="18" t="str">
        <x:v>2025-10 / 2026-09</x:v>
      </x:c>
      <x:c r="F584" s="18" t="str">
        <x:v>Global · sin filtro de idioma</x:v>
      </x:c>
      <x:c r="G584" s="18" t="str">
        <x:v>search_volume</x:v>
      </x:c>
      <x:c r="H584" s="18" t="str">
        <x:v>global-refinement.json</x:v>
      </x:c>
      <x:c r="I584" s="18" t="str">
        <x:v>10181917-1949-0367-0000-6ceea1dc515c</x:v>
      </x:c>
      <x:c r="J584" s="18" t="str">
        <x:v>No</x:v>
      </x:c>
    </x:row>
    <x:row r="585" ht="34" customHeight="1">
      <x:c r="A585" s="18" t="str">
        <x:v>recipe-nutrition-analyzer</x:v>
      </x:c>
      <x:c r="B585" s="18" t="str">
        <x:v>recipe nutrition calculator</x:v>
      </x:c>
      <x:c r="C585" s="19" t="n">
        <x:v>33100</x:v>
      </x:c>
      <x:c r="D585" s="18" t="str">
        <x:v>Sí</x:v>
      </x:c>
      <x:c r="E585" s="18" t="str">
        <x:v>2025-10 / 2026-09</x:v>
      </x:c>
      <x:c r="F585" s="18" t="str">
        <x:v>Global · sin filtro de idioma</x:v>
      </x:c>
      <x:c r="G585" s="18" t="str">
        <x:v>search_volume</x:v>
      </x:c>
      <x:c r="H585" s="18" t="str">
        <x:v>global-candidates.json</x:v>
      </x:c>
      <x:c r="I585" s="18" t="str">
        <x:v>10181909-1949-0367-0000-d6f424f63198</x:v>
      </x:c>
      <x:c r="J585" s="18" t="str">
        <x:v>No</x:v>
      </x:c>
    </x:row>
    <x:row r="586" ht="34" customHeight="1">
      <x:c r="A586" s="18" t="str">
        <x:v>recipe-nutrition-analyzer</x:v>
      </x:c>
      <x:c r="B586" s="18" t="str">
        <x:v>recipe calorie calculator</x:v>
      </x:c>
      <x:c r="C586" s="19" t="n">
        <x:v>33100</x:v>
      </x:c>
      <x:c r="D586" s="18" t="str">
        <x:v>No</x:v>
      </x:c>
      <x:c r="E586" s="18" t="str">
        <x:v>2025-10 / 2026-09</x:v>
      </x:c>
      <x:c r="F586" s="18" t="str">
        <x:v>Global · sin filtro de idioma</x:v>
      </x:c>
      <x:c r="G586" s="18" t="str">
        <x:v>search_volume</x:v>
      </x:c>
      <x:c r="H586" s="18" t="str">
        <x:v>global-candidates.json</x:v>
      </x:c>
      <x:c r="I586" s="18" t="str">
        <x:v>10181909-1949-0367-0000-d6f424f63198</x:v>
      </x:c>
      <x:c r="J586" s="18" t="str">
        <x:v>No</x:v>
      </x:c>
    </x:row>
    <x:row r="587" ht="34" customHeight="1">
      <x:c r="A587" s="18" t="str">
        <x:v>recipe-nutrition-analyzer</x:v>
      </x:c>
      <x:c r="B587" s="18" t="str">
        <x:v>calculadora nutricional recetas</x:v>
      </x:c>
      <x:c r="C587" s="19" t="n">
        <x:v>10</x:v>
      </x:c>
      <x:c r="D587" s="18" t="str">
        <x:v>No</x:v>
      </x:c>
      <x:c r="E587" s="18" t="str">
        <x:v>2025-10 / 2026-09</x:v>
      </x:c>
      <x:c r="F587" s="18" t="str">
        <x:v>Global · sin filtro de idioma</x:v>
      </x:c>
      <x:c r="G587" s="18" t="str">
        <x:v>search_volume</x:v>
      </x:c>
      <x:c r="H587" s="18" t="str">
        <x:v>global-candidates.json</x:v>
      </x:c>
      <x:c r="I587" s="18" t="str">
        <x:v>10181909-1949-0367-0000-d6f424f63198</x:v>
      </x:c>
      <x:c r="J587" s="18" t="str">
        <x:v>No</x:v>
      </x:c>
    </x:row>
    <x:row r="588" ht="34" customHeight="1">
      <x:c r="A588" s="18" t="str">
        <x:v>ingredient-substitution</x:v>
      </x:c>
      <x:c r="B588" s="18" t="str">
        <x:v>ingredient substitute</x:v>
      </x:c>
      <x:c r="C588" s="19" t="n">
        <x:v>140</x:v>
      </x:c>
      <x:c r="D588" s="18" t="str">
        <x:v>Sí</x:v>
      </x:c>
      <x:c r="E588" s="18" t="str">
        <x:v>2025-10 / 2026-09</x:v>
      </x:c>
      <x:c r="F588" s="18" t="str">
        <x:v>Global · sin filtro de idioma</x:v>
      </x:c>
      <x:c r="G588" s="18" t="str">
        <x:v>search_volume</x:v>
      </x:c>
      <x:c r="H588" s="18" t="str">
        <x:v>global-candidates.json</x:v>
      </x:c>
      <x:c r="I588" s="18" t="str">
        <x:v>10181909-1949-0367-0000-d6f424f63198</x:v>
      </x:c>
      <x:c r="J588" s="18" t="str">
        <x:v>No</x:v>
      </x:c>
    </x:row>
    <x:row r="589" ht="34" customHeight="1">
      <x:c r="A589" s="18" t="str">
        <x:v>ingredient-substitution</x:v>
      </x:c>
      <x:c r="B589" s="18" t="str">
        <x:v>ingredient substitution</x:v>
      </x:c>
      <x:c r="C589" s="19" t="n">
        <x:v>140</x:v>
      </x:c>
      <x:c r="D589" s="18" t="str">
        <x:v>No</x:v>
      </x:c>
      <x:c r="E589" s="18" t="str">
        <x:v>2025-10 / 2026-09</x:v>
      </x:c>
      <x:c r="F589" s="18" t="str">
        <x:v>Global · sin filtro de idioma</x:v>
      </x:c>
      <x:c r="G589" s="18" t="str">
        <x:v>search_volume</x:v>
      </x:c>
      <x:c r="H589" s="18" t="str">
        <x:v>global-candidates.json</x:v>
      </x:c>
      <x:c r="I589" s="18" t="str">
        <x:v>10181909-1949-0367-0000-d6f424f63198</x:v>
      </x:c>
      <x:c r="J589" s="18" t="str">
        <x:v>No</x:v>
      </x:c>
    </x:row>
    <x:row r="590" ht="34" customHeight="1">
      <x:c r="A590" s="18" t="str">
        <x:v>ingredient-substitution</x:v>
      </x:c>
      <x:c r="B590" s="18" t="str">
        <x:v>sustituir ingredientes</x:v>
      </x:c>
      <x:c r="C590" s="19" t="n">
        <x:v>10</x:v>
      </x:c>
      <x:c r="D590" s="18" t="str">
        <x:v>No</x:v>
      </x:c>
      <x:c r="E590" s="18" t="str">
        <x:v>2025-10 / 2026-09</x:v>
      </x:c>
      <x:c r="F590" s="18" t="str">
        <x:v>Global · sin filtro de idioma</x:v>
      </x:c>
      <x:c r="G590" s="18" t="str">
        <x:v>search_volume</x:v>
      </x:c>
      <x:c r="H590" s="18" t="str">
        <x:v>global-candidates.json</x:v>
      </x:c>
      <x:c r="I590" s="18" t="str">
        <x:v>10181909-1949-0367-0000-d6f424f63198</x:v>
      </x:c>
      <x:c r="J590" s="18" t="str">
        <x:v>No</x:v>
      </x:c>
    </x:row>
    <x:row r="591" ht="34" customHeight="1">
      <x:c r="A591" s="18" t="str">
        <x:v>pan-size-converter</x:v>
      </x:c>
      <x:c r="B591" s="18" t="str">
        <x:v>cake pan converter</x:v>
      </x:c>
      <x:c r="C591" s="19" t="n">
        <x:v>590</x:v>
      </x:c>
      <x:c r="D591" s="18" t="str">
        <x:v>Sí</x:v>
      </x:c>
      <x:c r="E591" s="18" t="str">
        <x:v>2025-10 / 2026-09</x:v>
      </x:c>
      <x:c r="F591" s="18" t="str">
        <x:v>Global · sin filtro de idioma</x:v>
      </x:c>
      <x:c r="G591" s="18" t="str">
        <x:v>search_volume</x:v>
      </x:c>
      <x:c r="H591" s="18" t="str">
        <x:v>global-candidates.json</x:v>
      </x:c>
      <x:c r="I591" s="18" t="str">
        <x:v>10181909-1949-0367-0000-d6f424f63198</x:v>
      </x:c>
      <x:c r="J591" s="18" t="str">
        <x:v>No</x:v>
      </x:c>
    </x:row>
    <x:row r="592" ht="34" customHeight="1">
      <x:c r="A592" s="18" t="str">
        <x:v>pan-size-converter</x:v>
      </x:c>
      <x:c r="B592" s="18" t="str">
        <x:v>baking pan conversion</x:v>
      </x:c>
      <x:c r="C592" s="19" t="n">
        <x:v>210</x:v>
      </x:c>
      <x:c r="D592" s="18" t="str">
        <x:v>No</x:v>
      </x:c>
      <x:c r="E592" s="18" t="str">
        <x:v>2025-10 / 2026-09</x:v>
      </x:c>
      <x:c r="F592" s="18" t="str">
        <x:v>Global · sin filtro de idioma</x:v>
      </x:c>
      <x:c r="G592" s="18" t="str">
        <x:v>search_volume</x:v>
      </x:c>
      <x:c r="H592" s="18" t="str">
        <x:v>global-candidates.json</x:v>
      </x:c>
      <x:c r="I592" s="18" t="str">
        <x:v>10181909-1949-0367-0000-d6f424f63198</x:v>
      </x:c>
      <x:c r="J592" s="18" t="str">
        <x:v>No</x:v>
      </x:c>
    </x:row>
    <x:row r="593" ht="34" customHeight="1">
      <x:c r="A593" s="18" t="str">
        <x:v>pan-size-converter</x:v>
      </x:c>
      <x:c r="B593" s="18" t="str">
        <x:v>conversor moldes</x:v>
      </x:c>
      <x:c r="C593" s="19" t="str">
        <x:v>n.a.</x:v>
      </x:c>
      <x:c r="D593" s="18" t="str">
        <x:v>No</x:v>
      </x:c>
      <x:c r="E593" s="18" t="str">
        <x:v>n.a.</x:v>
      </x:c>
      <x:c r="F593" s="18" t="str">
        <x:v>Global · sin filtro de idioma</x:v>
      </x:c>
      <x:c r="G593" s="18" t="str">
        <x:v>search_volume</x:v>
      </x:c>
      <x:c r="H593" s="18" t="str">
        <x:v>global-candidates.json</x:v>
      </x:c>
      <x:c r="I593" s="18" t="str">
        <x:v>10181909-1949-0367-0000-d6f424f63198</x:v>
      </x:c>
      <x:c r="J593" s="18" t="str">
        <x:v>No</x:v>
      </x:c>
    </x:row>
    <x:row r="594" ht="34" customHeight="1">
      <x:c r="A594" s="18" t="str">
        <x:v>sourdough-calculator</x:v>
      </x:c>
      <x:c r="B594" s="18" t="str">
        <x:v>sourdough calculator</x:v>
      </x:c>
      <x:c r="C594" s="19" t="n">
        <x:v>4400</x:v>
      </x:c>
      <x:c r="D594" s="18" t="str">
        <x:v>Sí</x:v>
      </x:c>
      <x:c r="E594" s="18" t="str">
        <x:v>2025-10 / 2026-09</x:v>
      </x:c>
      <x:c r="F594" s="18" t="str">
        <x:v>Global · sin filtro de idioma</x:v>
      </x:c>
      <x:c r="G594" s="18" t="str">
        <x:v>search_volume</x:v>
      </x:c>
      <x:c r="H594" s="18" t="str">
        <x:v>global-candidates.json</x:v>
      </x:c>
      <x:c r="I594" s="18" t="str">
        <x:v>10181909-1949-0367-0000-d6f424f63198</x:v>
      </x:c>
      <x:c r="J594" s="18" t="str">
        <x:v>No</x:v>
      </x:c>
    </x:row>
    <x:row r="595" ht="34" customHeight="1">
      <x:c r="A595" s="18" t="str">
        <x:v>sourdough-calculator</x:v>
      </x:c>
      <x:c r="B595" s="18" t="str">
        <x:v>bread calculator</x:v>
      </x:c>
      <x:c r="C595" s="19" t="n">
        <x:v>1900</x:v>
      </x:c>
      <x:c r="D595" s="18" t="str">
        <x:v>No</x:v>
      </x:c>
      <x:c r="E595" s="18" t="str">
        <x:v>2025-10 / 2026-09</x:v>
      </x:c>
      <x:c r="F595" s="18" t="str">
        <x:v>Global · sin filtro de idioma</x:v>
      </x:c>
      <x:c r="G595" s="18" t="str">
        <x:v>search_volume</x:v>
      </x:c>
      <x:c r="H595" s="18" t="str">
        <x:v>global-candidates.json</x:v>
      </x:c>
      <x:c r="I595" s="18" t="str">
        <x:v>10181909-1949-0367-0000-d6f424f63198</x:v>
      </x:c>
      <x:c r="J595" s="18" t="str">
        <x:v>No</x:v>
      </x:c>
    </x:row>
    <x:row r="596" ht="34" customHeight="1">
      <x:c r="A596" s="18" t="str">
        <x:v>sourdough-calculator</x:v>
      </x:c>
      <x:c r="B596" s="18" t="str">
        <x:v>calculadora masa madre</x:v>
      </x:c>
      <x:c r="C596" s="19" t="n">
        <x:v>20</x:v>
      </x:c>
      <x:c r="D596" s="18" t="str">
        <x:v>No</x:v>
      </x:c>
      <x:c r="E596" s="18" t="str">
        <x:v>2025-10 / 2026-09</x:v>
      </x:c>
      <x:c r="F596" s="18" t="str">
        <x:v>Global · sin filtro de idioma</x:v>
      </x:c>
      <x:c r="G596" s="18" t="str">
        <x:v>search_volume</x:v>
      </x:c>
      <x:c r="H596" s="18" t="str">
        <x:v>global-candidates.json</x:v>
      </x:c>
      <x:c r="I596" s="18" t="str">
        <x:v>10181909-1949-0367-0000-d6f424f63198</x:v>
      </x:c>
      <x:c r="J596" s="18" t="str">
        <x:v>No</x:v>
      </x:c>
    </x:row>
    <x:row r="597" ht="34" customHeight="1">
      <x:c r="A597" s="18" t="str">
        <x:v>coffee-brewing-calculator</x:v>
      </x:c>
      <x:c r="B597" s="18" t="str">
        <x:v>coffee ratio calculator</x:v>
      </x:c>
      <x:c r="C597" s="19" t="n">
        <x:v>1900</x:v>
      </x:c>
      <x:c r="D597" s="18" t="str">
        <x:v>No</x:v>
      </x:c>
      <x:c r="E597" s="18" t="str">
        <x:v>2025-10 / 2026-09</x:v>
      </x:c>
      <x:c r="F597" s="18" t="str">
        <x:v>Global · sin filtro de idioma</x:v>
      </x:c>
      <x:c r="G597" s="18" t="str">
        <x:v>search_volume</x:v>
      </x:c>
      <x:c r="H597" s="18" t="str">
        <x:v>global-candidates.json</x:v>
      </x:c>
      <x:c r="I597" s="18" t="str">
        <x:v>10181909-1949-0367-0000-d6f424f63198</x:v>
      </x:c>
      <x:c r="J597" s="18" t="str">
        <x:v>No</x:v>
      </x:c>
    </x:row>
    <x:row r="598" ht="34" customHeight="1">
      <x:c r="A598" s="18" t="str">
        <x:v>coffee-brewing-calculator</x:v>
      </x:c>
      <x:c r="B598" s="18" t="str">
        <x:v>coffee calculator</x:v>
      </x:c>
      <x:c r="C598" s="19" t="n">
        <x:v>3600</x:v>
      </x:c>
      <x:c r="D598" s="18" t="str">
        <x:v>Sí</x:v>
      </x:c>
      <x:c r="E598" s="18" t="str">
        <x:v>2025-10 / 2026-09</x:v>
      </x:c>
      <x:c r="F598" s="18" t="str">
        <x:v>Global · sin filtro de idioma</x:v>
      </x:c>
      <x:c r="G598" s="18" t="str">
        <x:v>search_volume</x:v>
      </x:c>
      <x:c r="H598" s="18" t="str">
        <x:v>global-candidates.json</x:v>
      </x:c>
      <x:c r="I598" s="18" t="str">
        <x:v>10181909-1949-0367-0000-d6f424f63198</x:v>
      </x:c>
      <x:c r="J598" s="18" t="str">
        <x:v>No</x:v>
      </x:c>
    </x:row>
    <x:row r="599" ht="34" customHeight="1">
      <x:c r="A599" s="18" t="str">
        <x:v>coffee-brewing-calculator</x:v>
      </x:c>
      <x:c r="B599" s="18" t="str">
        <x:v>calculadora cafe</x:v>
      </x:c>
      <x:c r="C599" s="19" t="n">
        <x:v>50</x:v>
      </x:c>
      <x:c r="D599" s="18" t="str">
        <x:v>No</x:v>
      </x:c>
      <x:c r="E599" s="18" t="str">
        <x:v>2025-10 / 2026-09</x:v>
      </x:c>
      <x:c r="F599" s="18" t="str">
        <x:v>Global · sin filtro de idioma</x:v>
      </x:c>
      <x:c r="G599" s="18" t="str">
        <x:v>search_volume</x:v>
      </x:c>
      <x:c r="H599" s="18" t="str">
        <x:v>global-candidates.json</x:v>
      </x:c>
      <x:c r="I599" s="18" t="str">
        <x:v>10181909-1949-0367-0000-d6f424f63198</x:v>
      </x:c>
      <x:c r="J599" s="18" t="str">
        <x:v>No</x:v>
      </x:c>
    </x:row>
    <x:row r="600" ht="34" customHeight="1">
      <x:c r="A600" s="18" t="str">
        <x:v>homebrew-recipe-calculator</x:v>
      </x:c>
      <x:c r="B600" s="18" t="str">
        <x:v>beer brewing calculator</x:v>
      </x:c>
      <x:c r="C600" s="19" t="n">
        <x:v>1000</x:v>
      </x:c>
      <x:c r="D600" s="18" t="str">
        <x:v>Sí</x:v>
      </x:c>
      <x:c r="E600" s="18" t="str">
        <x:v>2025-10 / 2026-09</x:v>
      </x:c>
      <x:c r="F600" s="18" t="str">
        <x:v>Global · sin filtro de idioma</x:v>
      </x:c>
      <x:c r="G600" s="18" t="str">
        <x:v>search_volume</x:v>
      </x:c>
      <x:c r="H600" s="18" t="str">
        <x:v>global-candidates.json</x:v>
      </x:c>
      <x:c r="I600" s="18" t="str">
        <x:v>10181909-1949-0367-0000-d6f424f63198</x:v>
      </x:c>
      <x:c r="J600" s="18" t="str">
        <x:v>No</x:v>
      </x:c>
    </x:row>
    <x:row r="601" ht="34" customHeight="1">
      <x:c r="A601" s="18" t="str">
        <x:v>homebrew-recipe-calculator</x:v>
      </x:c>
      <x:c r="B601" s="18" t="str">
        <x:v>homebrew calculator</x:v>
      </x:c>
      <x:c r="C601" s="19" t="n">
        <x:v>260</x:v>
      </x:c>
      <x:c r="D601" s="18" t="str">
        <x:v>No</x:v>
      </x:c>
      <x:c r="E601" s="18" t="str">
        <x:v>2025-10 / 2026-09</x:v>
      </x:c>
      <x:c r="F601" s="18" t="str">
        <x:v>Global · sin filtro de idioma</x:v>
      </x:c>
      <x:c r="G601" s="18" t="str">
        <x:v>search_volume</x:v>
      </x:c>
      <x:c r="H601" s="18" t="str">
        <x:v>global-candidates.json</x:v>
      </x:c>
      <x:c r="I601" s="18" t="str">
        <x:v>10181909-1949-0367-0000-d6f424f63198</x:v>
      </x:c>
      <x:c r="J601" s="18" t="str">
        <x:v>No</x:v>
      </x:c>
    </x:row>
    <x:row r="602" ht="34" customHeight="1">
      <x:c r="A602" s="18" t="str">
        <x:v>homebrew-recipe-calculator</x:v>
      </x:c>
      <x:c r="B602" s="18" t="str">
        <x:v>brew recipe calculator</x:v>
      </x:c>
      <x:c r="C602" s="19" t="n">
        <x:v>90</x:v>
      </x:c>
      <x:c r="D602" s="18" t="str">
        <x:v>No</x:v>
      </x:c>
      <x:c r="E602" s="18" t="str">
        <x:v>2025-10 / 2026-09</x:v>
      </x:c>
      <x:c r="F602" s="18" t="str">
        <x:v>Global · sin filtro de idioma</x:v>
      </x:c>
      <x:c r="G602" s="18" t="str">
        <x:v>search_volume</x:v>
      </x:c>
      <x:c r="H602" s="18" t="str">
        <x:v>global-candidates.json</x:v>
      </x:c>
      <x:c r="I602" s="18" t="str">
        <x:v>10181909-1949-0367-0000-d6f424f63198</x:v>
      </x:c>
      <x:c r="J602" s="18" t="str">
        <x:v>No</x:v>
      </x:c>
    </x:row>
    <x:row r="603" ht="34" customHeight="1">
      <x:c r="A603" s="18" t="str">
        <x:v>garden-planner</x:v>
      </x:c>
      <x:c r="B603" s="18" t="str">
        <x:v>garden planner</x:v>
      </x:c>
      <x:c r="C603" s="19" t="n">
        <x:v>22200</x:v>
      </x:c>
      <x:c r="D603" s="18" t="str">
        <x:v>Sí</x:v>
      </x:c>
      <x:c r="E603" s="18" t="str">
        <x:v>2025-10 / 2026-09</x:v>
      </x:c>
      <x:c r="F603" s="18" t="str">
        <x:v>Global · sin filtro de idioma</x:v>
      </x:c>
      <x:c r="G603" s="18" t="str">
        <x:v>search_volume</x:v>
      </x:c>
      <x:c r="H603" s="18" t="str">
        <x:v>global-candidates.json</x:v>
      </x:c>
      <x:c r="I603" s="18" t="str">
        <x:v>10181909-1949-0367-0000-d6f424f63198</x:v>
      </x:c>
      <x:c r="J603" s="18" t="str">
        <x:v>No</x:v>
      </x:c>
    </x:row>
    <x:row r="604" ht="34" customHeight="1">
      <x:c r="A604" s="18" t="str">
        <x:v>garden-planner</x:v>
      </x:c>
      <x:c r="B604" s="18" t="str">
        <x:v>vegetable garden planner</x:v>
      </x:c>
      <x:c r="C604" s="19" t="n">
        <x:v>1300</x:v>
      </x:c>
      <x:c r="D604" s="18" t="str">
        <x:v>No</x:v>
      </x:c>
      <x:c r="E604" s="18" t="str">
        <x:v>2025-10 / 2026-09</x:v>
      </x:c>
      <x:c r="F604" s="18" t="str">
        <x:v>Global · sin filtro de idioma</x:v>
      </x:c>
      <x:c r="G604" s="18" t="str">
        <x:v>search_volume</x:v>
      </x:c>
      <x:c r="H604" s="18" t="str">
        <x:v>global-candidates.json</x:v>
      </x:c>
      <x:c r="I604" s="18" t="str">
        <x:v>10181909-1949-0367-0000-d6f424f63198</x:v>
      </x:c>
      <x:c r="J604" s="18" t="str">
        <x:v>No</x:v>
      </x:c>
    </x:row>
    <x:row r="605" ht="34" customHeight="1">
      <x:c r="A605" s="18" t="str">
        <x:v>garden-planner</x:v>
      </x:c>
      <x:c r="B605" s="18" t="str">
        <x:v>planificar huerto</x:v>
      </x:c>
      <x:c r="C605" s="19" t="n">
        <x:v>90</x:v>
      </x:c>
      <x:c r="D605" s="18" t="str">
        <x:v>No</x:v>
      </x:c>
      <x:c r="E605" s="18" t="str">
        <x:v>2025-10 / 2026-09</x:v>
      </x:c>
      <x:c r="F605" s="18" t="str">
        <x:v>Global · sin filtro de idioma</x:v>
      </x:c>
      <x:c r="G605" s="18" t="str">
        <x:v>search_volume</x:v>
      </x:c>
      <x:c r="H605" s="18" t="str">
        <x:v>global-candidates.json</x:v>
      </x:c>
      <x:c r="I605" s="18" t="str">
        <x:v>10181909-1949-0367-0000-d6f424f63198</x:v>
      </x:c>
      <x:c r="J605" s="18" t="str">
        <x:v>No</x:v>
      </x:c>
    </x:row>
    <x:row r="606" ht="34" customHeight="1">
      <x:c r="A606" s="18" t="str">
        <x:v>plant-identifier</x:v>
      </x:c>
      <x:c r="B606" s="18" t="str">
        <x:v>plant identifier</x:v>
      </x:c>
      <x:c r="C606" s="19" t="n">
        <x:v>135000</x:v>
      </x:c>
      <x:c r="D606" s="18" t="str">
        <x:v>Sí</x:v>
      </x:c>
      <x:c r="E606" s="18" t="str">
        <x:v>2025-10 / 2026-09</x:v>
      </x:c>
      <x:c r="F606" s="18" t="str">
        <x:v>Global · sin filtro de idioma</x:v>
      </x:c>
      <x:c r="G606" s="18" t="str">
        <x:v>search_volume</x:v>
      </x:c>
      <x:c r="H606" s="18" t="str">
        <x:v>global-candidates.json</x:v>
      </x:c>
      <x:c r="I606" s="18" t="str">
        <x:v>10181909-1949-0367-0000-d6f424f63198</x:v>
      </x:c>
      <x:c r="J606" s="18" t="str">
        <x:v>No</x:v>
      </x:c>
    </x:row>
    <x:row r="607" ht="34" customHeight="1">
      <x:c r="A607" s="18" t="str">
        <x:v>plant-identifier</x:v>
      </x:c>
      <x:c r="B607" s="18" t="str">
        <x:v>identify plant</x:v>
      </x:c>
      <x:c r="C607" s="19" t="n">
        <x:v>135000</x:v>
      </x:c>
      <x:c r="D607" s="18" t="str">
        <x:v>No</x:v>
      </x:c>
      <x:c r="E607" s="18" t="str">
        <x:v>2025-10 / 2026-09</x:v>
      </x:c>
      <x:c r="F607" s="18" t="str">
        <x:v>Global · sin filtro de idioma</x:v>
      </x:c>
      <x:c r="G607" s="18" t="str">
        <x:v>search_volume</x:v>
      </x:c>
      <x:c r="H607" s="18" t="str">
        <x:v>global-candidates.json</x:v>
      </x:c>
      <x:c r="I607" s="18" t="str">
        <x:v>10181909-1949-0367-0000-d6f424f63198</x:v>
      </x:c>
      <x:c r="J607" s="18" t="str">
        <x:v>No</x:v>
      </x:c>
    </x:row>
    <x:row r="608" ht="34" customHeight="1">
      <x:c r="A608" s="18" t="str">
        <x:v>plant-identifier</x:v>
      </x:c>
      <x:c r="B608" s="18" t="str">
        <x:v>identificar plantas</x:v>
      </x:c>
      <x:c r="C608" s="19" t="n">
        <x:v>3600</x:v>
      </x:c>
      <x:c r="D608" s="18" t="str">
        <x:v>No</x:v>
      </x:c>
      <x:c r="E608" s="18" t="str">
        <x:v>2025-10 / 2026-09</x:v>
      </x:c>
      <x:c r="F608" s="18" t="str">
        <x:v>Global · sin filtro de idioma</x:v>
      </x:c>
      <x:c r="G608" s="18" t="str">
        <x:v>search_volume</x:v>
      </x:c>
      <x:c r="H608" s="18" t="str">
        <x:v>global-candidates.json</x:v>
      </x:c>
      <x:c r="I608" s="18" t="str">
        <x:v>10181909-1949-0367-0000-d6f424f63198</x:v>
      </x:c>
      <x:c r="J608" s="18" t="str">
        <x:v>No</x:v>
      </x:c>
    </x:row>
    <x:row r="609" ht="34" customHeight="1">
      <x:c r="A609" s="18" t="str">
        <x:v>bird-sound-identifier</x:v>
      </x:c>
      <x:c r="B609" s="18" t="str">
        <x:v>bird song identifier</x:v>
      </x:c>
      <x:c r="C609" s="19" t="n">
        <x:v>18100</x:v>
      </x:c>
      <x:c r="D609" s="18" t="str">
        <x:v>Sí</x:v>
      </x:c>
      <x:c r="E609" s="18" t="str">
        <x:v>2025-10 / 2026-09</x:v>
      </x:c>
      <x:c r="F609" s="18" t="str">
        <x:v>Global · sin filtro de idioma</x:v>
      </x:c>
      <x:c r="G609" s="18" t="str">
        <x:v>search_volume</x:v>
      </x:c>
      <x:c r="H609" s="18" t="str">
        <x:v>global-candidates.json</x:v>
      </x:c>
      <x:c r="I609" s="18" t="str">
        <x:v>10181909-1949-0367-0000-d6f424f63198</x:v>
      </x:c>
      <x:c r="J609" s="18" t="str">
        <x:v>No</x:v>
      </x:c>
    </x:row>
    <x:row r="610" ht="34" customHeight="1">
      <x:c r="A610" s="18" t="str">
        <x:v>bird-sound-identifier</x:v>
      </x:c>
      <x:c r="B610" s="18" t="str">
        <x:v>bird sound identifier</x:v>
      </x:c>
      <x:c r="C610" s="19" t="n">
        <x:v>9900</x:v>
      </x:c>
      <x:c r="D610" s="18" t="str">
        <x:v>No</x:v>
      </x:c>
      <x:c r="E610" s="18" t="str">
        <x:v>2025-10 / 2026-09</x:v>
      </x:c>
      <x:c r="F610" s="18" t="str">
        <x:v>Global · sin filtro de idioma</x:v>
      </x:c>
      <x:c r="G610" s="18" t="str">
        <x:v>search_volume</x:v>
      </x:c>
      <x:c r="H610" s="18" t="str">
        <x:v>global-candidates.json</x:v>
      </x:c>
      <x:c r="I610" s="18" t="str">
        <x:v>10181909-1949-0367-0000-d6f424f63198</x:v>
      </x:c>
      <x:c r="J610" s="18" t="str">
        <x:v>No</x:v>
      </x:c>
    </x:row>
    <x:row r="611" ht="34" customHeight="1">
      <x:c r="A611" s="18" t="str">
        <x:v>bird-sound-identifier</x:v>
      </x:c>
      <x:c r="B611" s="18" t="str">
        <x:v>identificar canto aves</x:v>
      </x:c>
      <x:c r="C611" s="19" t="str">
        <x:v>n.a.</x:v>
      </x:c>
      <x:c r="D611" s="18" t="str">
        <x:v>No</x:v>
      </x:c>
      <x:c r="E611" s="18" t="str">
        <x:v>n.a.</x:v>
      </x:c>
      <x:c r="F611" s="18" t="str">
        <x:v>Global · sin filtro de idioma</x:v>
      </x:c>
      <x:c r="G611" s="18" t="str">
        <x:v>search_volume</x:v>
      </x:c>
      <x:c r="H611" s="18" t="str">
        <x:v>global-candidates.json</x:v>
      </x:c>
      <x:c r="I611" s="18" t="str">
        <x:v>10181909-1949-0367-0000-d6f424f63198</x:v>
      </x:c>
      <x:c r="J611" s="18" t="str">
        <x:v>No</x:v>
      </x:c>
    </x:row>
    <x:row r="612" ht="34" customHeight="1">
      <x:c r="A612" s="18" t="str">
        <x:v>mushroom-identifier</x:v>
      </x:c>
      <x:c r="B612" s="18" t="str">
        <x:v>mushroom identifier</x:v>
      </x:c>
      <x:c r="C612" s="19" t="n">
        <x:v>18100</x:v>
      </x:c>
      <x:c r="D612" s="18" t="str">
        <x:v>Sí</x:v>
      </x:c>
      <x:c r="E612" s="18" t="str">
        <x:v>2025-10 / 2026-09</x:v>
      </x:c>
      <x:c r="F612" s="18" t="str">
        <x:v>Global · sin filtro de idioma</x:v>
      </x:c>
      <x:c r="G612" s="18" t="str">
        <x:v>search_volume</x:v>
      </x:c>
      <x:c r="H612" s="18" t="str">
        <x:v>global-candidates.json</x:v>
      </x:c>
      <x:c r="I612" s="18" t="str">
        <x:v>10181909-1949-0367-0000-d6f424f63198</x:v>
      </x:c>
      <x:c r="J612" s="18" t="str">
        <x:v>No</x:v>
      </x:c>
    </x:row>
    <x:row r="613" ht="34" customHeight="1">
      <x:c r="A613" s="18" t="str">
        <x:v>mushroom-identifier</x:v>
      </x:c>
      <x:c r="B613" s="18" t="str">
        <x:v>identify mushroom</x:v>
      </x:c>
      <x:c r="C613" s="19" t="n">
        <x:v>18100</x:v>
      </x:c>
      <x:c r="D613" s="18" t="str">
        <x:v>No</x:v>
      </x:c>
      <x:c r="E613" s="18" t="str">
        <x:v>2025-10 / 2026-09</x:v>
      </x:c>
      <x:c r="F613" s="18" t="str">
        <x:v>Global · sin filtro de idioma</x:v>
      </x:c>
      <x:c r="G613" s="18" t="str">
        <x:v>search_volume</x:v>
      </x:c>
      <x:c r="H613" s="18" t="str">
        <x:v>global-candidates.json</x:v>
      </x:c>
      <x:c r="I613" s="18" t="str">
        <x:v>10181909-1949-0367-0000-d6f424f63198</x:v>
      </x:c>
      <x:c r="J613" s="18" t="str">
        <x:v>No</x:v>
      </x:c>
    </x:row>
    <x:row r="614" ht="34" customHeight="1">
      <x:c r="A614" s="18" t="str">
        <x:v>mushroom-identifier</x:v>
      </x:c>
      <x:c r="B614" s="18" t="str">
        <x:v>identificar setas</x:v>
      </x:c>
      <x:c r="C614" s="19" t="n">
        <x:v>70</x:v>
      </x:c>
      <x:c r="D614" s="18" t="str">
        <x:v>No</x:v>
      </x:c>
      <x:c r="E614" s="18" t="str">
        <x:v>2025-10 / 2026-09</x:v>
      </x:c>
      <x:c r="F614" s="18" t="str">
        <x:v>Global · sin filtro de idioma</x:v>
      </x:c>
      <x:c r="G614" s="18" t="str">
        <x:v>search_volume</x:v>
      </x:c>
      <x:c r="H614" s="18" t="str">
        <x:v>global-candidates.json</x:v>
      </x:c>
      <x:c r="I614" s="18" t="str">
        <x:v>10181909-1949-0367-0000-d6f424f63198</x:v>
      </x:c>
      <x:c r="J614" s="18" t="str">
        <x:v>No</x:v>
      </x:c>
    </x:row>
    <x:row r="615" ht="34" customHeight="1">
      <x:c r="A615" s="18" t="str">
        <x:v>pet-feeding-calculator</x:v>
      </x:c>
      <x:c r="B615" s="18" t="str">
        <x:v>dog calorie calculator</x:v>
      </x:c>
      <x:c r="C615" s="19" t="n">
        <x:v>8100</x:v>
      </x:c>
      <x:c r="D615" s="18" t="str">
        <x:v>Sí</x:v>
      </x:c>
      <x:c r="E615" s="18" t="str">
        <x:v>2025-10 / 2026-09</x:v>
      </x:c>
      <x:c r="F615" s="18" t="str">
        <x:v>Global · sin filtro de idioma</x:v>
      </x:c>
      <x:c r="G615" s="18" t="str">
        <x:v>search_volume</x:v>
      </x:c>
      <x:c r="H615" s="18" t="str">
        <x:v>global-candidates.json</x:v>
      </x:c>
      <x:c r="I615" s="18" t="str">
        <x:v>10181909-1949-0367-0000-d6f424f63198</x:v>
      </x:c>
      <x:c r="J615" s="18" t="str">
        <x:v>No</x:v>
      </x:c>
    </x:row>
    <x:row r="616" ht="34" customHeight="1">
      <x:c r="A616" s="18" t="str">
        <x:v>pet-feeding-calculator</x:v>
      </x:c>
      <x:c r="B616" s="18" t="str">
        <x:v>cat calorie calculator</x:v>
      </x:c>
      <x:c r="C616" s="19" t="n">
        <x:v>6600</x:v>
      </x:c>
      <x:c r="D616" s="18" t="str">
        <x:v>No</x:v>
      </x:c>
      <x:c r="E616" s="18" t="str">
        <x:v>2025-10 / 2026-09</x:v>
      </x:c>
      <x:c r="F616" s="18" t="str">
        <x:v>Global · sin filtro de idioma</x:v>
      </x:c>
      <x:c r="G616" s="18" t="str">
        <x:v>search_volume</x:v>
      </x:c>
      <x:c r="H616" s="18" t="str">
        <x:v>global-candidates.json</x:v>
      </x:c>
      <x:c r="I616" s="18" t="str">
        <x:v>10181909-1949-0367-0000-d6f424f63198</x:v>
      </x:c>
      <x:c r="J616" s="18" t="str">
        <x:v>No</x:v>
      </x:c>
    </x:row>
    <x:row r="617" ht="34" customHeight="1">
      <x:c r="A617" s="18" t="str">
        <x:v>pet-feeding-calculator</x:v>
      </x:c>
      <x:c r="B617" s="18" t="str">
        <x:v>pet food calculator</x:v>
      </x:c>
      <x:c r="C617" s="19" t="n">
        <x:v>880</x:v>
      </x:c>
      <x:c r="D617" s="18" t="str">
        <x:v>No</x:v>
      </x:c>
      <x:c r="E617" s="18" t="str">
        <x:v>2025-10 / 2026-09</x:v>
      </x:c>
      <x:c r="F617" s="18" t="str">
        <x:v>Global · sin filtro de idioma</x:v>
      </x:c>
      <x:c r="G617" s="18" t="str">
        <x:v>search_volume</x:v>
      </x:c>
      <x:c r="H617" s="18" t="str">
        <x:v>global-candidates.json</x:v>
      </x:c>
      <x:c r="I617" s="18" t="str">
        <x:v>10181909-1949-0367-0000-d6f424f63198</x:v>
      </x:c>
      <x:c r="J617" s="18" t="str">
        <x:v>No</x:v>
      </x:c>
    </x:row>
    <x:row r="618" ht="34" customHeight="1">
      <x:c r="A618" s="18" t="str">
        <x:v>pet-medication-log</x:v>
      </x:c>
      <x:c r="B618" s="18" t="str">
        <x:v>pet medication tracker</x:v>
      </x:c>
      <x:c r="C618" s="19" t="n">
        <x:v>70</x:v>
      </x:c>
      <x:c r="D618" s="18" t="str">
        <x:v>Sí</x:v>
      </x:c>
      <x:c r="E618" s="18" t="str">
        <x:v>2025-10 / 2026-09</x:v>
      </x:c>
      <x:c r="F618" s="18" t="str">
        <x:v>Global · sin filtro de idioma</x:v>
      </x:c>
      <x:c r="G618" s="18" t="str">
        <x:v>search_volume</x:v>
      </x:c>
      <x:c r="H618" s="18" t="str">
        <x:v>global-candidates.json</x:v>
      </x:c>
      <x:c r="I618" s="18" t="str">
        <x:v>10181909-1949-0367-0000-d6f424f63198</x:v>
      </x:c>
      <x:c r="J618" s="18" t="str">
        <x:v>No</x:v>
      </x:c>
    </x:row>
    <x:row r="619" ht="34" customHeight="1">
      <x:c r="A619" s="18" t="str">
        <x:v>pet-medication-log</x:v>
      </x:c>
      <x:c r="B619" s="18" t="str">
        <x:v>pet medicine schedule</x:v>
      </x:c>
      <x:c r="C619" s="19" t="str">
        <x:v>n.a.</x:v>
      </x:c>
      <x:c r="D619" s="18" t="str">
        <x:v>No</x:v>
      </x:c>
      <x:c r="E619" s="18" t="str">
        <x:v>n.a.</x:v>
      </x:c>
      <x:c r="F619" s="18" t="str">
        <x:v>Global · sin filtro de idioma</x:v>
      </x:c>
      <x:c r="G619" s="18" t="str">
        <x:v>search_volume</x:v>
      </x:c>
      <x:c r="H619" s="18" t="str">
        <x:v>global-candidates.json</x:v>
      </x:c>
      <x:c r="I619" s="18" t="str">
        <x:v>10181909-1949-0367-0000-d6f424f63198</x:v>
      </x:c>
      <x:c r="J619" s="18" t="str">
        <x:v>No</x:v>
      </x:c>
    </x:row>
    <x:row r="620" ht="34" customHeight="1">
      <x:c r="A620" s="18" t="str">
        <x:v>pet-medication-log</x:v>
      </x:c>
      <x:c r="B620" s="18" t="str">
        <x:v>registro medicacion mascotas</x:v>
      </x:c>
      <x:c r="C620" s="19" t="str">
        <x:v>n.a.</x:v>
      </x:c>
      <x:c r="D620" s="18" t="str">
        <x:v>No</x:v>
      </x:c>
      <x:c r="E620" s="18" t="str">
        <x:v>n.a.</x:v>
      </x:c>
      <x:c r="F620" s="18" t="str">
        <x:v>Global · sin filtro de idioma</x:v>
      </x:c>
      <x:c r="G620" s="18" t="str">
        <x:v>search_volume</x:v>
      </x:c>
      <x:c r="H620" s="18" t="str">
        <x:v>global-candidates.json</x:v>
      </x:c>
      <x:c r="I620" s="18" t="str">
        <x:v>10181909-1949-0367-0000-d6f424f63198</x:v>
      </x:c>
      <x:c r="J620" s="18" t="str">
        <x:v>No</x:v>
      </x:c>
    </x:row>
    <x:row r="621" ht="34" customHeight="1">
      <x:c r="A621" s="18" t="str">
        <x:v>moving-planner</x:v>
      </x:c>
      <x:c r="B621" s="18" t="str">
        <x:v>moving checklist</x:v>
      </x:c>
      <x:c r="C621" s="19" t="n">
        <x:v>14800</x:v>
      </x:c>
      <x:c r="D621" s="18" t="str">
        <x:v>Sí</x:v>
      </x:c>
      <x:c r="E621" s="18" t="str">
        <x:v>2025-10 / 2026-09</x:v>
      </x:c>
      <x:c r="F621" s="18" t="str">
        <x:v>Global · sin filtro de idioma</x:v>
      </x:c>
      <x:c r="G621" s="18" t="str">
        <x:v>search_volume</x:v>
      </x:c>
      <x:c r="H621" s="18" t="str">
        <x:v>global-candidates.json</x:v>
      </x:c>
      <x:c r="I621" s="18" t="str">
        <x:v>10181909-1949-0367-0000-d6f424f63198</x:v>
      </x:c>
      <x:c r="J621" s="18" t="str">
        <x:v>No</x:v>
      </x:c>
    </x:row>
    <x:row r="622" ht="34" customHeight="1">
      <x:c r="A622" s="18" t="str">
        <x:v>moving-planner</x:v>
      </x:c>
      <x:c r="B622" s="18" t="str">
        <x:v>moving planner</x:v>
      </x:c>
      <x:c r="C622" s="19" t="n">
        <x:v>1600</x:v>
      </x:c>
      <x:c r="D622" s="18" t="str">
        <x:v>No</x:v>
      </x:c>
      <x:c r="E622" s="18" t="str">
        <x:v>2025-10 / 2026-09</x:v>
      </x:c>
      <x:c r="F622" s="18" t="str">
        <x:v>Global · sin filtro de idioma</x:v>
      </x:c>
      <x:c r="G622" s="18" t="str">
        <x:v>search_volume</x:v>
      </x:c>
      <x:c r="H622" s="18" t="str">
        <x:v>global-candidates.json</x:v>
      </x:c>
      <x:c r="I622" s="18" t="str">
        <x:v>10181909-1949-0367-0000-d6f424f63198</x:v>
      </x:c>
      <x:c r="J622" s="18" t="str">
        <x:v>No</x:v>
      </x:c>
    </x:row>
    <x:row r="623" ht="34" customHeight="1">
      <x:c r="A623" s="18" t="str">
        <x:v>moving-planner</x:v>
      </x:c>
      <x:c r="B623" s="18" t="str">
        <x:v>lista mudanza</x:v>
      </x:c>
      <x:c r="C623" s="19" t="n">
        <x:v>50</x:v>
      </x:c>
      <x:c r="D623" s="18" t="str">
        <x:v>No</x:v>
      </x:c>
      <x:c r="E623" s="18" t="str">
        <x:v>2025-10 / 2026-09</x:v>
      </x:c>
      <x:c r="F623" s="18" t="str">
        <x:v>Global · sin filtro de idioma</x:v>
      </x:c>
      <x:c r="G623" s="18" t="str">
        <x:v>search_volume</x:v>
      </x:c>
      <x:c r="H623" s="18" t="str">
        <x:v>global-candidates.json</x:v>
      </x:c>
      <x:c r="I623" s="18" t="str">
        <x:v>10181909-1949-0367-0000-d6f424f63198</x:v>
      </x:c>
      <x:c r="J623" s="18" t="str">
        <x:v>No</x:v>
      </x:c>
    </x:row>
    <x:row r="624" ht="34" customHeight="1">
      <x:c r="A624" s="18" t="str">
        <x:v>home-inventory</x:v>
      </x:c>
      <x:c r="B624" s="18" t="str">
        <x:v>home inventory</x:v>
      </x:c>
      <x:c r="C624" s="19" t="n">
        <x:v>1000</x:v>
      </x:c>
      <x:c r="D624" s="18" t="str">
        <x:v>No</x:v>
      </x:c>
      <x:c r="E624" s="18" t="str">
        <x:v>2025-10 / 2026-09</x:v>
      </x:c>
      <x:c r="F624" s="18" t="str">
        <x:v>Global · sin filtro de idioma</x:v>
      </x:c>
      <x:c r="G624" s="18" t="str">
        <x:v>search_volume</x:v>
      </x:c>
      <x:c r="H624" s="18" t="str">
        <x:v>global-candidates.json</x:v>
      </x:c>
      <x:c r="I624" s="18" t="str">
        <x:v>10181909-1949-0367-0000-d6f424f63198</x:v>
      </x:c>
      <x:c r="J624" s="18" t="str">
        <x:v>No</x:v>
      </x:c>
    </x:row>
    <x:row r="625" ht="34" customHeight="1">
      <x:c r="A625" s="18" t="str">
        <x:v>home-inventory</x:v>
      </x:c>
      <x:c r="B625" s="18" t="str">
        <x:v>home inventory app</x:v>
      </x:c>
      <x:c r="C625" s="19" t="n">
        <x:v>1900</x:v>
      </x:c>
      <x:c r="D625" s="18" t="str">
        <x:v>Sí</x:v>
      </x:c>
      <x:c r="E625" s="18" t="str">
        <x:v>2025-10 / 2026-09</x:v>
      </x:c>
      <x:c r="F625" s="18" t="str">
        <x:v>Global · sin filtro de idioma</x:v>
      </x:c>
      <x:c r="G625" s="18" t="str">
        <x:v>search_volume</x:v>
      </x:c>
      <x:c r="H625" s="18" t="str">
        <x:v>global-candidates.json</x:v>
      </x:c>
      <x:c r="I625" s="18" t="str">
        <x:v>10181909-1949-0367-0000-d6f424f63198</x:v>
      </x:c>
      <x:c r="J625" s="18" t="str">
        <x:v>No</x:v>
      </x:c>
    </x:row>
    <x:row r="626" ht="34" customHeight="1">
      <x:c r="A626" s="18" t="str">
        <x:v>home-inventory</x:v>
      </x:c>
      <x:c r="B626" s="18" t="str">
        <x:v>inventario hogar</x:v>
      </x:c>
      <x:c r="C626" s="19" t="n">
        <x:v>20</x:v>
      </x:c>
      <x:c r="D626" s="18" t="str">
        <x:v>No</x:v>
      </x:c>
      <x:c r="E626" s="18" t="str">
        <x:v>2025-10 / 2026-09</x:v>
      </x:c>
      <x:c r="F626" s="18" t="str">
        <x:v>Global · sin filtro de idioma</x:v>
      </x:c>
      <x:c r="G626" s="18" t="str">
        <x:v>search_volume</x:v>
      </x:c>
      <x:c r="H626" s="18" t="str">
        <x:v>global-candidates.json</x:v>
      </x:c>
      <x:c r="I626" s="18" t="str">
        <x:v>10181909-1949-0367-0000-d6f424f63198</x:v>
      </x:c>
      <x:c r="J626" s="18" t="str">
        <x:v>No</x:v>
      </x:c>
    </x:row>
    <x:row r="627" ht="34" customHeight="1">
      <x:c r="A627" s="18" t="str">
        <x:v>appliance-repair-guide</x:v>
      </x:c>
      <x:c r="B627" s="18" t="str">
        <x:v>appliance troubleshooting</x:v>
      </x:c>
      <x:c r="C627" s="19" t="n">
        <x:v>110</x:v>
      </x:c>
      <x:c r="D627" s="18" t="str">
        <x:v>No</x:v>
      </x:c>
      <x:c r="E627" s="18" t="str">
        <x:v>2025-10 / 2026-09</x:v>
      </x:c>
      <x:c r="F627" s="18" t="str">
        <x:v>Global · sin filtro de idioma</x:v>
      </x:c>
      <x:c r="G627" s="18" t="str">
        <x:v>search_volume</x:v>
      </x:c>
      <x:c r="H627" s="18" t="str">
        <x:v>global-candidates.json</x:v>
      </x:c>
      <x:c r="I627" s="18" t="str">
        <x:v>10181909-1949-0367-0000-d6f424f63198</x:v>
      </x:c>
      <x:c r="J627" s="18" t="str">
        <x:v>No</x:v>
      </x:c>
    </x:row>
    <x:row r="628" ht="34" customHeight="1">
      <x:c r="A628" s="18" t="str">
        <x:v>appliance-repair-guide</x:v>
      </x:c>
      <x:c r="B628" s="18" t="str">
        <x:v>washing machine troubleshooting</x:v>
      </x:c>
      <x:c r="C628" s="19" t="n">
        <x:v>1900</x:v>
      </x:c>
      <x:c r="D628" s="18" t="str">
        <x:v>Sí</x:v>
      </x:c>
      <x:c r="E628" s="18" t="str">
        <x:v>2025-10 / 2026-09</x:v>
      </x:c>
      <x:c r="F628" s="18" t="str">
        <x:v>Global · sin filtro de idioma</x:v>
      </x:c>
      <x:c r="G628" s="18" t="str">
        <x:v>search_volume</x:v>
      </x:c>
      <x:c r="H628" s="18" t="str">
        <x:v>global-candidates.json</x:v>
      </x:c>
      <x:c r="I628" s="18" t="str">
        <x:v>10181909-1949-0367-0000-d6f424f63198</x:v>
      </x:c>
      <x:c r="J628" s="18" t="str">
        <x:v>No</x:v>
      </x:c>
    </x:row>
    <x:row r="629" ht="34" customHeight="1">
      <x:c r="A629" s="18" t="str">
        <x:v>appliance-repair-guide</x:v>
      </x:c>
      <x:c r="B629" s="18" t="str">
        <x:v>reparar lavadora</x:v>
      </x:c>
      <x:c r="C629" s="19" t="n">
        <x:v>880</x:v>
      </x:c>
      <x:c r="D629" s="18" t="str">
        <x:v>No</x:v>
      </x:c>
      <x:c r="E629" s="18" t="str">
        <x:v>2025-10 / 2026-09</x:v>
      </x:c>
      <x:c r="F629" s="18" t="str">
        <x:v>Global · sin filtro de idioma</x:v>
      </x:c>
      <x:c r="G629" s="18" t="str">
        <x:v>search_volume</x:v>
      </x:c>
      <x:c r="H629" s="18" t="str">
        <x:v>global-candidates.json</x:v>
      </x:c>
      <x:c r="I629" s="18" t="str">
        <x:v>10181909-1949-0367-0000-d6f424f63198</x:v>
      </x:c>
      <x:c r="J629" s="18" t="str">
        <x:v>No</x:v>
      </x:c>
    </x:row>
    <x:row r="630" ht="34" customHeight="1">
      <x:c r="A630" s="18" t="str">
        <x:v>recycling-sorter</x:v>
      </x:c>
      <x:c r="B630" s="18" t="str">
        <x:v>recycling guide</x:v>
      </x:c>
      <x:c r="C630" s="19" t="n">
        <x:v>1600</x:v>
      </x:c>
      <x:c r="D630" s="18" t="str">
        <x:v>Sí</x:v>
      </x:c>
      <x:c r="E630" s="18" t="str">
        <x:v>2025-10 / 2026-09</x:v>
      </x:c>
      <x:c r="F630" s="18" t="str">
        <x:v>Global · sin filtro de idioma</x:v>
      </x:c>
      <x:c r="G630" s="18" t="str">
        <x:v>search_volume</x:v>
      </x:c>
      <x:c r="H630" s="18" t="str">
        <x:v>global-candidates.json</x:v>
      </x:c>
      <x:c r="I630" s="18" t="str">
        <x:v>10181909-1949-0367-0000-d6f424f63198</x:v>
      </x:c>
      <x:c r="J630" s="18" t="str">
        <x:v>No</x:v>
      </x:c>
    </x:row>
    <x:row r="631" ht="34" customHeight="1">
      <x:c r="A631" s="18" t="str">
        <x:v>recycling-sorter</x:v>
      </x:c>
      <x:c r="B631" s="18" t="str">
        <x:v>what goes in recycling</x:v>
      </x:c>
      <x:c r="C631" s="19" t="n">
        <x:v>390</x:v>
      </x:c>
      <x:c r="D631" s="18" t="str">
        <x:v>No</x:v>
      </x:c>
      <x:c r="E631" s="18" t="str">
        <x:v>2025-10 / 2026-09</x:v>
      </x:c>
      <x:c r="F631" s="18" t="str">
        <x:v>Global · sin filtro de idioma</x:v>
      </x:c>
      <x:c r="G631" s="18" t="str">
        <x:v>search_volume</x:v>
      </x:c>
      <x:c r="H631" s="18" t="str">
        <x:v>global-candidates.json</x:v>
      </x:c>
      <x:c r="I631" s="18" t="str">
        <x:v>10181909-1949-0367-0000-d6f424f63198</x:v>
      </x:c>
      <x:c r="J631" s="18" t="str">
        <x:v>No</x:v>
      </x:c>
    </x:row>
    <x:row r="632" ht="34" customHeight="1">
      <x:c r="A632" s="18" t="str">
        <x:v>recycling-sorter</x:v>
      </x:c>
      <x:c r="B632" s="18" t="str">
        <x:v>donde reciclar</x:v>
      </x:c>
      <x:c r="C632" s="19" t="n">
        <x:v>90</x:v>
      </x:c>
      <x:c r="D632" s="18" t="str">
        <x:v>No</x:v>
      </x:c>
      <x:c r="E632" s="18" t="str">
        <x:v>2025-10 / 2026-09</x:v>
      </x:c>
      <x:c r="F632" s="18" t="str">
        <x:v>Global · sin filtro de idioma</x:v>
      </x:c>
      <x:c r="G632" s="18" t="str">
        <x:v>search_volume</x:v>
      </x:c>
      <x:c r="H632" s="18" t="str">
        <x:v>global-candidates.json</x:v>
      </x:c>
      <x:c r="I632" s="18" t="str">
        <x:v>10181909-1949-0367-0000-d6f424f63198</x:v>
      </x:c>
      <x:c r="J632" s="18" t="str">
        <x:v>No</x:v>
      </x:c>
    </x:row>
    <x:row r="633" ht="34" customHeight="1">
      <x:c r="A633" s="18" t="str">
        <x:v>event-countdown-page</x:v>
      </x:c>
      <x:c r="B633" s="18" t="str">
        <x:v>countdown to date</x:v>
      </x:c>
      <x:c r="C633" s="19" t="n">
        <x:v>9900</x:v>
      </x:c>
      <x:c r="D633" s="18" t="str">
        <x:v>No</x:v>
      </x:c>
      <x:c r="E633" s="18" t="str">
        <x:v>2025-10 / 2026-09</x:v>
      </x:c>
      <x:c r="F633" s="18" t="str">
        <x:v>Global · sin filtro de idioma</x:v>
      </x:c>
      <x:c r="G633" s="18" t="str">
        <x:v>search_volume</x:v>
      </x:c>
      <x:c r="H633" s="18" t="str">
        <x:v>global-candidates.json</x:v>
      </x:c>
      <x:c r="I633" s="18" t="str">
        <x:v>10181909-1949-0367-0000-d6f424f63198</x:v>
      </x:c>
      <x:c r="J633" s="18" t="str">
        <x:v>No</x:v>
      </x:c>
    </x:row>
    <x:row r="634" ht="34" customHeight="1">
      <x:c r="A634" s="18" t="str">
        <x:v>event-countdown-page</x:v>
      </x:c>
      <x:c r="B634" s="18" t="str">
        <x:v>countdown clock</x:v>
      </x:c>
      <x:c r="C634" s="19" t="n">
        <x:v>33100</x:v>
      </x:c>
      <x:c r="D634" s="18" t="str">
        <x:v>Sí</x:v>
      </x:c>
      <x:c r="E634" s="18" t="str">
        <x:v>2025-10 / 2026-09</x:v>
      </x:c>
      <x:c r="F634" s="18" t="str">
        <x:v>Global · sin filtro de idioma</x:v>
      </x:c>
      <x:c r="G634" s="18" t="str">
        <x:v>search_volume</x:v>
      </x:c>
      <x:c r="H634" s="18" t="str">
        <x:v>global-candidates.json</x:v>
      </x:c>
      <x:c r="I634" s="18" t="str">
        <x:v>10181909-1949-0367-0000-d6f424f63198</x:v>
      </x:c>
      <x:c r="J634" s="18" t="str">
        <x:v>No</x:v>
      </x:c>
    </x:row>
    <x:row r="635" ht="34" customHeight="1">
      <x:c r="A635" s="18" t="str">
        <x:v>event-countdown-page</x:v>
      </x:c>
      <x:c r="B635" s="18" t="str">
        <x:v>cuenta atras fecha</x:v>
      </x:c>
      <x:c r="C635" s="19" t="n">
        <x:v>320</x:v>
      </x:c>
      <x:c r="D635" s="18" t="str">
        <x:v>No</x:v>
      </x:c>
      <x:c r="E635" s="18" t="str">
        <x:v>2025-10 / 2026-09</x:v>
      </x:c>
      <x:c r="F635" s="18" t="str">
        <x:v>Global · sin filtro de idioma</x:v>
      </x:c>
      <x:c r="G635" s="18" t="str">
        <x:v>search_volume</x:v>
      </x:c>
      <x:c r="H635" s="18" t="str">
        <x:v>global-candidates.json</x:v>
      </x:c>
      <x:c r="I635" s="18" t="str">
        <x:v>10181909-1949-0367-0000-d6f424f63198</x:v>
      </x:c>
      <x:c r="J635" s="18" t="str">
        <x:v>No</x:v>
      </x:c>
    </x:row>
    <x:row r="636" ht="34" customHeight="1">
      <x:c r="A636" s="18" t="str">
        <x:v>big-five-personality-test</x:v>
      </x:c>
      <x:c r="B636" s="18" t="str">
        <x:v>personality test</x:v>
      </x:c>
      <x:c r="C636" s="19" t="n">
        <x:v>673000</x:v>
      </x:c>
      <x:c r="D636" s="18" t="str">
        <x:v>Sí</x:v>
      </x:c>
      <x:c r="E636" s="18" t="str">
        <x:v>2025-10 / 2026-09</x:v>
      </x:c>
      <x:c r="F636" s="18" t="str">
        <x:v>Global · sin filtro de idioma</x:v>
      </x:c>
      <x:c r="G636" s="18" t="str">
        <x:v>search_volume</x:v>
      </x:c>
      <x:c r="H636" s="18" t="str">
        <x:v>global-initial-screen.json</x:v>
      </x:c>
      <x:c r="I636" s="18" t="str">
        <x:v>10181645-1949-0367-0000-721aab5cac1a</x:v>
      </x:c>
      <x:c r="J636" s="18" t="str">
        <x:v>No</x:v>
      </x:c>
    </x:row>
    <x:row r="637" ht="34" customHeight="1">
      <x:c r="A637" s="18" t="str">
        <x:v>big-five-personality-test</x:v>
      </x:c>
      <x:c r="B637" s="18" t="str">
        <x:v>big five personality test</x:v>
      </x:c>
      <x:c r="C637" s="19" t="n">
        <x:v>60500</x:v>
      </x:c>
      <x:c r="D637" s="18" t="str">
        <x:v>No</x:v>
      </x:c>
      <x:c r="E637" s="18" t="str">
        <x:v>2025-10 / 2026-09</x:v>
      </x:c>
      <x:c r="F637" s="18" t="str">
        <x:v>Global · sin filtro de idioma</x:v>
      </x:c>
      <x:c r="G637" s="18" t="str">
        <x:v>search_volume</x:v>
      </x:c>
      <x:c r="H637" s="18" t="str">
        <x:v>global-initial-screen.json</x:v>
      </x:c>
      <x:c r="I637" s="18" t="str">
        <x:v>10181645-1949-0367-0000-721aab5cac1a</x:v>
      </x:c>
      <x:c r="J637" s="18" t="str">
        <x:v>No</x:v>
      </x:c>
    </x:row>
    <x:row r="638" ht="34" customHeight="1">
      <x:c r="A638" s="18" t="str">
        <x:v>big-five-personality-test</x:v>
      </x:c>
      <x:c r="B638" s="18" t="str">
        <x:v>test personalidad</x:v>
      </x:c>
      <x:c r="C638" s="19" t="n">
        <x:v>18100</x:v>
      </x:c>
      <x:c r="D638" s="18" t="str">
        <x:v>No</x:v>
      </x:c>
      <x:c r="E638" s="18" t="str">
        <x:v>2025-10 / 2026-09</x:v>
      </x:c>
      <x:c r="F638" s="18" t="str">
        <x:v>Global · sin filtro de idioma</x:v>
      </x:c>
      <x:c r="G638" s="18" t="str">
        <x:v>search_volume</x:v>
      </x:c>
      <x:c r="H638" s="18" t="str">
        <x:v>global-candidates.json</x:v>
      </x:c>
      <x:c r="I638" s="18" t="str">
        <x:v>10181909-1949-0367-0000-d6f424f63198</x:v>
      </x:c>
      <x:c r="J638" s="18" t="str">
        <x:v>No</x:v>
      </x:c>
    </x:row>
    <x:row r="639" ht="34" customHeight="1">
      <x:c r="A639" s="18" t="str">
        <x:v>big-five-personality-test</x:v>
      </x:c>
      <x:c r="B639" s="18" t="str">
        <x:v>big five test</x:v>
      </x:c>
      <x:c r="C639" s="19" t="n">
        <x:v>22200</x:v>
      </x:c>
      <x:c r="D639" s="18" t="str">
        <x:v>No</x:v>
      </x:c>
      <x:c r="E639" s="18" t="str">
        <x:v>2025-10 / 2026-09</x:v>
      </x:c>
      <x:c r="F639" s="18" t="str">
        <x:v>Global · sin filtro de idioma</x:v>
      </x:c>
      <x:c r="G639" s="18" t="str">
        <x:v>keywords_for_keywords</x:v>
      </x:c>
      <x:c r="H639" s="18" t="str">
        <x:v>discovery-creative-learning.json</x:v>
      </x:c>
      <x:c r="I639" s="18" t="str">
        <x:v>10181858-1949-0368-0000-9053a93ddd50</x:v>
      </x:c>
      <x:c r="J639" s="18" t="str">
        <x:v>No</x:v>
      </x:c>
    </x:row>
    <x:row r="640" ht="34" customHeight="1">
      <x:c r="A640" s="18" t="str">
        <x:v>big-five-personality-test</x:v>
      </x:c>
      <x:c r="B640" s="18" t="str">
        <x:v>big five personality test</x:v>
      </x:c>
      <x:c r="C640" s="19" t="n">
        <x:v>60500</x:v>
      </x:c>
      <x:c r="D640" s="18" t="str">
        <x:v>No</x:v>
      </x:c>
      <x:c r="E640" s="18" t="str">
        <x:v>2025-10 / 2026-09</x:v>
      </x:c>
      <x:c r="F640" s="18" t="str">
        <x:v>Global · sin filtro de idioma</x:v>
      </x:c>
      <x:c r="G640" s="18" t="str">
        <x:v>search_volume</x:v>
      </x:c>
      <x:c r="H640" s="18" t="str">
        <x:v>global-initial-screen.json</x:v>
      </x:c>
      <x:c r="I640" s="18" t="str">
        <x:v>10181645-1949-0367-0000-721aab5cac1a</x:v>
      </x:c>
      <x:c r="J640" s="18" t="str">
        <x:v>No</x:v>
      </x:c>
    </x:row>
    <x:row r="641" ht="34" customHeight="1">
      <x:c r="A641" s="18" t="str">
        <x:v>enneagram-questionnaire</x:v>
      </x:c>
      <x:c r="B641" s="18" t="str">
        <x:v>enneagram test</x:v>
      </x:c>
      <x:c r="C641" s="19" t="n">
        <x:v>301000</x:v>
      </x:c>
      <x:c r="D641" s="18" t="str">
        <x:v>Sí</x:v>
      </x:c>
      <x:c r="E641" s="18" t="str">
        <x:v>2025-10 / 2026-09</x:v>
      </x:c>
      <x:c r="F641" s="18" t="str">
        <x:v>Global · sin filtro de idioma</x:v>
      </x:c>
      <x:c r="G641" s="18" t="str">
        <x:v>search_volume</x:v>
      </x:c>
      <x:c r="H641" s="18" t="str">
        <x:v>global-initial-screen.json</x:v>
      </x:c>
      <x:c r="I641" s="18" t="str">
        <x:v>10181645-1949-0367-0000-721aab5cac1a</x:v>
      </x:c>
      <x:c r="J641" s="18" t="str">
        <x:v>No</x:v>
      </x:c>
    </x:row>
    <x:row r="642" ht="34" customHeight="1">
      <x:c r="A642" s="18" t="str">
        <x:v>enneagram-questionnaire</x:v>
      </x:c>
      <x:c r="B642" s="18" t="str">
        <x:v>test eneagrama</x:v>
      </x:c>
      <x:c r="C642" s="19" t="str">
        <x:v>n.a.</x:v>
      </x:c>
      <x:c r="D642" s="18" t="str">
        <x:v>No</x:v>
      </x:c>
      <x:c r="E642" s="18" t="str">
        <x:v>n.a.</x:v>
      </x:c>
      <x:c r="F642" s="18" t="str">
        <x:v>Global · sin filtro de idioma</x:v>
      </x:c>
      <x:c r="G642" s="18" t="str">
        <x:v>search_volume</x:v>
      </x:c>
      <x:c r="H642" s="18" t="str">
        <x:v>global-candidates.json</x:v>
      </x:c>
      <x:c r="I642" s="18" t="str">
        <x:v>10181909-1949-0367-0000-d6f424f63198</x:v>
      </x:c>
      <x:c r="J642" s="18" t="str">
        <x:v>No</x:v>
      </x:c>
    </x:row>
    <x:row r="643" ht="34" customHeight="1">
      <x:c r="A643" s="18" t="str">
        <x:v>phq9-questionnaire</x:v>
      </x:c>
      <x:c r="B643" s="18" t="str">
        <x:v>depression test</x:v>
      </x:c>
      <x:c r="C643" s="19" t="n">
        <x:v>301000</x:v>
      </x:c>
      <x:c r="D643" s="18" t="str">
        <x:v>Sí</x:v>
      </x:c>
      <x:c r="E643" s="18" t="str">
        <x:v>2025-10 / 2026-09</x:v>
      </x:c>
      <x:c r="F643" s="18" t="str">
        <x:v>Global · sin filtro de idioma</x:v>
      </x:c>
      <x:c r="G643" s="18" t="str">
        <x:v>search_volume</x:v>
      </x:c>
      <x:c r="H643" s="18" t="str">
        <x:v>global-initial-screen.json</x:v>
      </x:c>
      <x:c r="I643" s="18" t="str">
        <x:v>10181645-1949-0367-0000-721aab5cac1a</x:v>
      </x:c>
      <x:c r="J643" s="18" t="str">
        <x:v>No</x:v>
      </x:c>
    </x:row>
    <x:row r="644" ht="34" customHeight="1">
      <x:c r="A644" s="18" t="str">
        <x:v>phq9-questionnaire</x:v>
      </x:c>
      <x:c r="B644" s="18" t="str">
        <x:v>phq9</x:v>
      </x:c>
      <x:c r="C644" s="19" t="n">
        <x:v>165000</x:v>
      </x:c>
      <x:c r="D644" s="18" t="str">
        <x:v>No</x:v>
      </x:c>
      <x:c r="E644" s="18" t="str">
        <x:v>2025-10 / 2026-09</x:v>
      </x:c>
      <x:c r="F644" s="18" t="str">
        <x:v>Global · sin filtro de idioma</x:v>
      </x:c>
      <x:c r="G644" s="18" t="str">
        <x:v>search_volume</x:v>
      </x:c>
      <x:c r="H644" s="18" t="str">
        <x:v>global-candidates.json</x:v>
      </x:c>
      <x:c r="I644" s="18" t="str">
        <x:v>10181909-1949-0367-0000-d6f424f63198</x:v>
      </x:c>
      <x:c r="J644" s="18" t="str">
        <x:v>No</x:v>
      </x:c>
    </x:row>
    <x:row r="645" ht="34" customHeight="1">
      <x:c r="A645" s="18" t="str">
        <x:v>phq9-questionnaire</x:v>
      </x:c>
      <x:c r="B645" s="18" t="str">
        <x:v>phq 9</x:v>
      </x:c>
      <x:c r="C645" s="19" t="n">
        <x:v>165000</x:v>
      </x:c>
      <x:c r="D645" s="18" t="str">
        <x:v>No</x:v>
      </x:c>
      <x:c r="E645" s="18" t="str">
        <x:v>2025-10 / 2026-09</x:v>
      </x:c>
      <x:c r="F645" s="18" t="str">
        <x:v>Global · sin filtro de idioma</x:v>
      </x:c>
      <x:c r="G645" s="18" t="str">
        <x:v>search_volume</x:v>
      </x:c>
      <x:c r="H645" s="18" t="str">
        <x:v>global-candidates.json</x:v>
      </x:c>
      <x:c r="I645" s="18" t="str">
        <x:v>10181909-1949-0367-0000-d6f424f63198</x:v>
      </x:c>
      <x:c r="J645" s="18" t="str">
        <x:v>No</x:v>
      </x:c>
    </x:row>
    <x:row r="646" ht="34" customHeight="1">
      <x:c r="A646" s="18" t="str">
        <x:v>gad7-questionnaire</x:v>
      </x:c>
      <x:c r="B646" s="18" t="str">
        <x:v>anxiety test</x:v>
      </x:c>
      <x:c r="C646" s="19" t="n">
        <x:v>49500</x:v>
      </x:c>
      <x:c r="D646" s="18" t="str">
        <x:v>No</x:v>
      </x:c>
      <x:c r="E646" s="18" t="str">
        <x:v>2025-10 / 2026-09</x:v>
      </x:c>
      <x:c r="F646" s="18" t="str">
        <x:v>Global · sin filtro de idioma</x:v>
      </x:c>
      <x:c r="G646" s="18" t="str">
        <x:v>search_volume</x:v>
      </x:c>
      <x:c r="H646" s="18" t="str">
        <x:v>global-initial-screen.json</x:v>
      </x:c>
      <x:c r="I646" s="18" t="str">
        <x:v>10181645-1949-0367-0000-721aab5cac1a</x:v>
      </x:c>
      <x:c r="J646" s="18" t="str">
        <x:v>No</x:v>
      </x:c>
    </x:row>
    <x:row r="647" ht="34" customHeight="1">
      <x:c r="A647" s="18" t="str">
        <x:v>gad7-questionnaire</x:v>
      </x:c>
      <x:c r="B647" s="18" t="str">
        <x:v>gad7</x:v>
      </x:c>
      <x:c r="C647" s="19" t="n">
        <x:v>90500</x:v>
      </x:c>
      <x:c r="D647" s="18" t="str">
        <x:v>Sí</x:v>
      </x:c>
      <x:c r="E647" s="18" t="str">
        <x:v>2025-10 / 2026-09</x:v>
      </x:c>
      <x:c r="F647" s="18" t="str">
        <x:v>Global · sin filtro de idioma</x:v>
      </x:c>
      <x:c r="G647" s="18" t="str">
        <x:v>search_volume</x:v>
      </x:c>
      <x:c r="H647" s="18" t="str">
        <x:v>global-candidates.json</x:v>
      </x:c>
      <x:c r="I647" s="18" t="str">
        <x:v>10181909-1949-0367-0000-d6f424f63198</x:v>
      </x:c>
      <x:c r="J647" s="18" t="str">
        <x:v>No</x:v>
      </x:c>
    </x:row>
    <x:row r="648" ht="34" customHeight="1">
      <x:c r="A648" s="18" t="str">
        <x:v>gad7-questionnaire</x:v>
      </x:c>
      <x:c r="B648" s="18" t="str">
        <x:v>gad 7</x:v>
      </x:c>
      <x:c r="C648" s="19" t="n">
        <x:v>90500</x:v>
      </x:c>
      <x:c r="D648" s="18" t="str">
        <x:v>No</x:v>
      </x:c>
      <x:c r="E648" s="18" t="str">
        <x:v>2025-10 / 2026-09</x:v>
      </x:c>
      <x:c r="F648" s="18" t="str">
        <x:v>Global · sin filtro de idioma</x:v>
      </x:c>
      <x:c r="G648" s="18" t="str">
        <x:v>search_volume</x:v>
      </x:c>
      <x:c r="H648" s="18" t="str">
        <x:v>global-candidates.json</x:v>
      </x:c>
      <x:c r="I648" s="18" t="str">
        <x:v>10181909-1949-0367-0000-d6f424f63198</x:v>
      </x:c>
      <x:c r="J648" s="18" t="str">
        <x:v>No</x:v>
      </x:c>
    </x:row>
    <x:row r="649" ht="34" customHeight="1">
      <x:c r="A649" s="18" t="str">
        <x:v>adult-adhd-screener</x:v>
      </x:c>
      <x:c r="B649" s="18" t="str">
        <x:v>adhd test</x:v>
      </x:c>
      <x:c r="C649" s="19" t="n">
        <x:v>450000</x:v>
      </x:c>
      <x:c r="D649" s="18" t="str">
        <x:v>Sí</x:v>
      </x:c>
      <x:c r="E649" s="18" t="str">
        <x:v>2025-10 / 2026-09</x:v>
      </x:c>
      <x:c r="F649" s="18" t="str">
        <x:v>Global · sin filtro de idioma</x:v>
      </x:c>
      <x:c r="G649" s="18" t="str">
        <x:v>search_volume</x:v>
      </x:c>
      <x:c r="H649" s="18" t="str">
        <x:v>global-initial-screen.json</x:v>
      </x:c>
      <x:c r="I649" s="18" t="str">
        <x:v>10181645-1949-0367-0000-721aab5cac1a</x:v>
      </x:c>
      <x:c r="J649" s="18" t="str">
        <x:v>No</x:v>
      </x:c>
    </x:row>
    <x:row r="650" ht="34" customHeight="1">
      <x:c r="A650" s="18" t="str">
        <x:v>adult-adhd-screener</x:v>
      </x:c>
      <x:c r="B650" s="18" t="str">
        <x:v>adult adhd test</x:v>
      </x:c>
      <x:c r="C650" s="19" t="n">
        <x:v>49500</x:v>
      </x:c>
      <x:c r="D650" s="18" t="str">
        <x:v>No</x:v>
      </x:c>
      <x:c r="E650" s="18" t="str">
        <x:v>2025-10 / 2026-09</x:v>
      </x:c>
      <x:c r="F650" s="18" t="str">
        <x:v>Global · sin filtro de idioma</x:v>
      </x:c>
      <x:c r="G650" s="18" t="str">
        <x:v>search_volume</x:v>
      </x:c>
      <x:c r="H650" s="18" t="str">
        <x:v>global-candidates.json</x:v>
      </x:c>
      <x:c r="I650" s="18" t="str">
        <x:v>10181909-1949-0367-0000-d6f424f63198</x:v>
      </x:c>
      <x:c r="J650" s="18" t="str">
        <x:v>No</x:v>
      </x:c>
    </x:row>
    <x:row r="651" ht="34" customHeight="1">
      <x:c r="A651" s="18" t="str">
        <x:v>adult-adhd-screener</x:v>
      </x:c>
      <x:c r="B651" s="18" t="str">
        <x:v>asrs</x:v>
      </x:c>
      <x:c r="C651" s="19" t="n">
        <x:v>74000</x:v>
      </x:c>
      <x:c r="D651" s="18" t="str">
        <x:v>No</x:v>
      </x:c>
      <x:c r="E651" s="18" t="str">
        <x:v>2025-10 / 2026-09</x:v>
      </x:c>
      <x:c r="F651" s="18" t="str">
        <x:v>Global · sin filtro de idioma</x:v>
      </x:c>
      <x:c r="G651" s="18" t="str">
        <x:v>search_volume</x:v>
      </x:c>
      <x:c r="H651" s="18" t="str">
        <x:v>global-candidates.json</x:v>
      </x:c>
      <x:c r="I651" s="18" t="str">
        <x:v>10181909-1949-0367-0000-d6f424f63198</x:v>
      </x:c>
      <x:c r="J651" s="18" t="str">
        <x:v>No</x:v>
      </x:c>
    </x:row>
    <x:row r="652" ht="34" customHeight="1">
      <x:c r="A652" s="18" t="str">
        <x:v>perceived-stress-questionnaire</x:v>
      </x:c>
      <x:c r="B652" s="18" t="str">
        <x:v>perceived stress scale</x:v>
      </x:c>
      <x:c r="C652" s="19" t="n">
        <x:v>14800</x:v>
      </x:c>
      <x:c r="D652" s="18" t="str">
        <x:v>Sí</x:v>
      </x:c>
      <x:c r="E652" s="18" t="str">
        <x:v>2025-10 / 2026-09</x:v>
      </x:c>
      <x:c r="F652" s="18" t="str">
        <x:v>Global · sin filtro de idioma</x:v>
      </x:c>
      <x:c r="G652" s="18" t="str">
        <x:v>search_volume</x:v>
      </x:c>
      <x:c r="H652" s="18" t="str">
        <x:v>global-candidates.json</x:v>
      </x:c>
      <x:c r="I652" s="18" t="str">
        <x:v>10181909-1949-0367-0000-d6f424f63198</x:v>
      </x:c>
      <x:c r="J652" s="18" t="str">
        <x:v>No</x:v>
      </x:c>
    </x:row>
    <x:row r="653" ht="34" customHeight="1">
      <x:c r="A653" s="18" t="str">
        <x:v>perceived-stress-questionnaire</x:v>
      </x:c>
      <x:c r="B653" s="18" t="str">
        <x:v>test estres</x:v>
      </x:c>
      <x:c r="C653" s="19" t="n">
        <x:v>390</x:v>
      </x:c>
      <x:c r="D653" s="18" t="str">
        <x:v>No</x:v>
      </x:c>
      <x:c r="E653" s="18" t="str">
        <x:v>2025-10 / 2026-09</x:v>
      </x:c>
      <x:c r="F653" s="18" t="str">
        <x:v>Global · sin filtro de idioma</x:v>
      </x:c>
      <x:c r="G653" s="18" t="str">
        <x:v>search_volume</x:v>
      </x:c>
      <x:c r="H653" s="18" t="str">
        <x:v>global-candidates.json</x:v>
      </x:c>
      <x:c r="I653" s="18" t="str">
        <x:v>10181909-1949-0367-0000-d6f424f63198</x:v>
      </x:c>
      <x:c r="J653" s="18" t="str">
        <x:v>No</x:v>
      </x:c>
    </x:row>
    <x:row r="654" ht="34" customHeight="1">
      <x:c r="A654" s="18" t="str">
        <x:v>ptsd-questionnaire</x:v>
      </x:c>
      <x:c r="B654" s="18" t="str">
        <x:v>ptsd test</x:v>
      </x:c>
      <x:c r="C654" s="19" t="str">
        <x:v>n.a.</x:v>
      </x:c>
      <x:c r="D654" s="18" t="str">
        <x:v>No</x:v>
      </x:c>
      <x:c r="E654" s="18" t="str">
        <x:v>n.a.</x:v>
      </x:c>
      <x:c r="F654" s="18" t="str">
        <x:v>Global · sin filtro de idioma</x:v>
      </x:c>
      <x:c r="G654" s="18" t="str">
        <x:v>search_volume</x:v>
      </x:c>
      <x:c r="H654" s="18" t="str">
        <x:v>global-candidates.json</x:v>
      </x:c>
      <x:c r="I654" s="18" t="str">
        <x:v>10181909-1949-0367-0000-d6f424f63198</x:v>
      </x:c>
      <x:c r="J654" s="18" t="str">
        <x:v>No</x:v>
      </x:c>
    </x:row>
    <x:row r="655" ht="34" customHeight="1">
      <x:c r="A655" s="18" t="str">
        <x:v>ptsd-questionnaire</x:v>
      </x:c>
      <x:c r="B655" s="18" t="str">
        <x:v>pcl5</x:v>
      </x:c>
      <x:c r="C655" s="19" t="n">
        <x:v>27100</x:v>
      </x:c>
      <x:c r="D655" s="18" t="str">
        <x:v>Sí</x:v>
      </x:c>
      <x:c r="E655" s="18" t="str">
        <x:v>2025-10 / 2026-09</x:v>
      </x:c>
      <x:c r="F655" s="18" t="str">
        <x:v>Global · sin filtro de idioma</x:v>
      </x:c>
      <x:c r="G655" s="18" t="str">
        <x:v>search_volume</x:v>
      </x:c>
      <x:c r="H655" s="18" t="str">
        <x:v>global-candidates.json</x:v>
      </x:c>
      <x:c r="I655" s="18" t="str">
        <x:v>10181909-1949-0367-0000-d6f424f63198</x:v>
      </x:c>
      <x:c r="J655" s="18" t="str">
        <x:v>No</x:v>
      </x:c>
    </x:row>
    <x:row r="656" ht="34" customHeight="1">
      <x:c r="A656" s="18" t="str">
        <x:v>ptsd-questionnaire</x:v>
      </x:c>
      <x:c r="B656" s="18" t="str">
        <x:v>pcl 5</x:v>
      </x:c>
      <x:c r="C656" s="19" t="n">
        <x:v>22200</x:v>
      </x:c>
      <x:c r="D656" s="18" t="str">
        <x:v>No</x:v>
      </x:c>
      <x:c r="E656" s="18" t="str">
        <x:v>2025-10 / 2026-09</x:v>
      </x:c>
      <x:c r="F656" s="18" t="str">
        <x:v>Global · sin filtro de idioma</x:v>
      </x:c>
      <x:c r="G656" s="18" t="str">
        <x:v>search_volume</x:v>
      </x:c>
      <x:c r="H656" s="18" t="str">
        <x:v>global-candidates.json</x:v>
      </x:c>
      <x:c r="I656" s="18" t="str">
        <x:v>10181909-1949-0367-0000-d6f424f63198</x:v>
      </x:c>
      <x:c r="J656" s="18" t="str">
        <x:v>No</x:v>
      </x:c>
    </x:row>
    <x:row r="657" ht="34" customHeight="1">
      <x:c r="A657" s="18" t="str">
        <x:v>sleepiness-questionnaire</x:v>
      </x:c>
      <x:c r="B657" s="18" t="str">
        <x:v>epworth sleepiness scale</x:v>
      </x:c>
      <x:c r="C657" s="19" t="n">
        <x:v>49500</x:v>
      </x:c>
      <x:c r="D657" s="18" t="str">
        <x:v>Sí</x:v>
      </x:c>
      <x:c r="E657" s="18" t="str">
        <x:v>2025-10 / 2026-09</x:v>
      </x:c>
      <x:c r="F657" s="18" t="str">
        <x:v>Global · sin filtro de idioma</x:v>
      </x:c>
      <x:c r="G657" s="18" t="str">
        <x:v>search_volume</x:v>
      </x:c>
      <x:c r="H657" s="18" t="str">
        <x:v>global-candidates.json</x:v>
      </x:c>
      <x:c r="I657" s="18" t="str">
        <x:v>10181909-1949-0367-0000-d6f424f63198</x:v>
      </x:c>
      <x:c r="J657" s="18" t="str">
        <x:v>No</x:v>
      </x:c>
    </x:row>
    <x:row r="658" ht="34" customHeight="1">
      <x:c r="A658" s="18" t="str">
        <x:v>sleepiness-questionnaire</x:v>
      </x:c>
      <x:c r="B658" s="18" t="str">
        <x:v>sleep apnea test</x:v>
      </x:c>
      <x:c r="C658" s="19" t="n">
        <x:v>33100</x:v>
      </x:c>
      <x:c r="D658" s="18" t="str">
        <x:v>No</x:v>
      </x:c>
      <x:c r="E658" s="18" t="str">
        <x:v>2025-10 / 2026-09</x:v>
      </x:c>
      <x:c r="F658" s="18" t="str">
        <x:v>Global · sin filtro de idioma</x:v>
      </x:c>
      <x:c r="G658" s="18" t="str">
        <x:v>search_volume</x:v>
      </x:c>
      <x:c r="H658" s="18" t="str">
        <x:v>global-candidates.json</x:v>
      </x:c>
      <x:c r="I658" s="18" t="str">
        <x:v>10181909-1949-0367-0000-d6f424f63198</x:v>
      </x:c>
      <x:c r="J658" s="18" t="str">
        <x:v>No</x:v>
      </x:c>
    </x:row>
    <x:row r="659" ht="34" customHeight="1">
      <x:c r="A659" s="18" t="str">
        <x:v>sleepiness-questionnaire</x:v>
      </x:c>
      <x:c r="B659" s="18" t="str">
        <x:v>sleepiness test</x:v>
      </x:c>
      <x:c r="C659" s="19" t="n">
        <x:v>22200</x:v>
      </x:c>
      <x:c r="D659" s="18" t="str">
        <x:v>No</x:v>
      </x:c>
      <x:c r="E659" s="18" t="str">
        <x:v>2025-10 / 2026-09</x:v>
      </x:c>
      <x:c r="F659" s="18" t="str">
        <x:v>Global · sin filtro de idioma</x:v>
      </x:c>
      <x:c r="G659" s="18" t="str">
        <x:v>search_volume</x:v>
      </x:c>
      <x:c r="H659" s="18" t="str">
        <x:v>global-candidates.json</x:v>
      </x:c>
      <x:c r="I659" s="18" t="str">
        <x:v>10181909-1949-0367-0000-d6f424f63198</x:v>
      </x:c>
      <x:c r="J659" s="18" t="str">
        <x:v>No</x:v>
      </x:c>
    </x:row>
    <x:row r="660" ht="34" customHeight="1">
      <x:c r="A660" s="18" t="str">
        <x:v>hearing-self-check</x:v>
      </x:c>
      <x:c r="B660" s="18" t="str">
        <x:v>hearing test</x:v>
      </x:c>
      <x:c r="C660" s="19" t="n">
        <x:v>74000</x:v>
      </x:c>
      <x:c r="D660" s="18" t="str">
        <x:v>Sí</x:v>
      </x:c>
      <x:c r="E660" s="18" t="str">
        <x:v>2025-10 / 2026-09</x:v>
      </x:c>
      <x:c r="F660" s="18" t="str">
        <x:v>Global · sin filtro de idioma</x:v>
      </x:c>
      <x:c r="G660" s="18" t="str">
        <x:v>search_volume</x:v>
      </x:c>
      <x:c r="H660" s="18" t="str">
        <x:v>global-initial-screen.json</x:v>
      </x:c>
      <x:c r="I660" s="18" t="str">
        <x:v>10181645-1949-0367-0000-721aab5cac1a</x:v>
      </x:c>
      <x:c r="J660" s="18" t="str">
        <x:v>No</x:v>
      </x:c>
    </x:row>
    <x:row r="661" ht="34" customHeight="1">
      <x:c r="A661" s="18" t="str">
        <x:v>hearing-self-check</x:v>
      </x:c>
      <x:c r="B661" s="18" t="str">
        <x:v>online hearing test</x:v>
      </x:c>
      <x:c r="C661" s="19" t="n">
        <x:v>27100</x:v>
      </x:c>
      <x:c r="D661" s="18" t="str">
        <x:v>No</x:v>
      </x:c>
      <x:c r="E661" s="18" t="str">
        <x:v>2025-10 / 2026-09</x:v>
      </x:c>
      <x:c r="F661" s="18" t="str">
        <x:v>Global · sin filtro de idioma</x:v>
      </x:c>
      <x:c r="G661" s="18" t="str">
        <x:v>search_volume</x:v>
      </x:c>
      <x:c r="H661" s="18" t="str">
        <x:v>global-candidates.json</x:v>
      </x:c>
      <x:c r="I661" s="18" t="str">
        <x:v>10181909-1949-0367-0000-d6f424f63198</x:v>
      </x:c>
      <x:c r="J661" s="18" t="str">
        <x:v>No</x:v>
      </x:c>
    </x:row>
    <x:row r="662" ht="34" customHeight="1">
      <x:c r="A662" s="18" t="str">
        <x:v>hearing-self-check</x:v>
      </x:c>
      <x:c r="B662" s="18" t="str">
        <x:v>test auditivo</x:v>
      </x:c>
      <x:c r="C662" s="19" t="n">
        <x:v>480</x:v>
      </x:c>
      <x:c r="D662" s="18" t="str">
        <x:v>No</x:v>
      </x:c>
      <x:c r="E662" s="18" t="str">
        <x:v>2025-10 / 2026-09</x:v>
      </x:c>
      <x:c r="F662" s="18" t="str">
        <x:v>Global · sin filtro de idioma</x:v>
      </x:c>
      <x:c r="G662" s="18" t="str">
        <x:v>search_volume</x:v>
      </x:c>
      <x:c r="H662" s="18" t="str">
        <x:v>global-candidates.json</x:v>
      </x:c>
      <x:c r="I662" s="18" t="str">
        <x:v>10181909-1949-0367-0000-d6f424f63198</x:v>
      </x:c>
      <x:c r="J662" s="18" t="str">
        <x:v>No</x:v>
      </x:c>
    </x:row>
    <x:row r="663" ht="34" customHeight="1">
      <x:c r="A663" s="18" t="str">
        <x:v>visual-acuity-check</x:v>
      </x:c>
      <x:c r="B663" s="18" t="str">
        <x:v>eye test</x:v>
      </x:c>
      <x:c r="C663" s="19" t="n">
        <x:v>201000</x:v>
      </x:c>
      <x:c r="D663" s="18" t="str">
        <x:v>Sí</x:v>
      </x:c>
      <x:c r="E663" s="18" t="str">
        <x:v>2025-10 / 2026-09</x:v>
      </x:c>
      <x:c r="F663" s="18" t="str">
        <x:v>Global · sin filtro de idioma</x:v>
      </x:c>
      <x:c r="G663" s="18" t="str">
        <x:v>search_volume</x:v>
      </x:c>
      <x:c r="H663" s="18" t="str">
        <x:v>global-candidates.json</x:v>
      </x:c>
      <x:c r="I663" s="18" t="str">
        <x:v>10181909-1949-0367-0000-d6f424f63198</x:v>
      </x:c>
      <x:c r="J663" s="18" t="str">
        <x:v>No</x:v>
      </x:c>
    </x:row>
    <x:row r="664" ht="34" customHeight="1">
      <x:c r="A664" s="18" t="str">
        <x:v>visual-acuity-check</x:v>
      </x:c>
      <x:c r="B664" s="18" t="str">
        <x:v>vision test</x:v>
      </x:c>
      <x:c r="C664" s="19" t="n">
        <x:v>40500</x:v>
      </x:c>
      <x:c r="D664" s="18" t="str">
        <x:v>No</x:v>
      </x:c>
      <x:c r="E664" s="18" t="str">
        <x:v>2025-10 / 2026-09</x:v>
      </x:c>
      <x:c r="F664" s="18" t="str">
        <x:v>Global · sin filtro de idioma</x:v>
      </x:c>
      <x:c r="G664" s="18" t="str">
        <x:v>search_volume</x:v>
      </x:c>
      <x:c r="H664" s="18" t="str">
        <x:v>global-initial-screen.json</x:v>
      </x:c>
      <x:c r="I664" s="18" t="str">
        <x:v>10181645-1949-0367-0000-721aab5cac1a</x:v>
      </x:c>
      <x:c r="J664" s="18" t="str">
        <x:v>No</x:v>
      </x:c>
    </x:row>
    <x:row r="665" ht="34" customHeight="1">
      <x:c r="A665" s="18" t="str">
        <x:v>visual-acuity-check</x:v>
      </x:c>
      <x:c r="B665" s="18" t="str">
        <x:v>test de vision</x:v>
      </x:c>
      <x:c r="C665" s="19" t="n">
        <x:v>2900</x:v>
      </x:c>
      <x:c r="D665" s="18" t="str">
        <x:v>No</x:v>
      </x:c>
      <x:c r="E665" s="18" t="str">
        <x:v>2025-10 / 2026-09</x:v>
      </x:c>
      <x:c r="F665" s="18" t="str">
        <x:v>Global · sin filtro de idioma</x:v>
      </x:c>
      <x:c r="G665" s="18" t="str">
        <x:v>search_volume</x:v>
      </x:c>
      <x:c r="H665" s="18" t="str">
        <x:v>global-candidates.json</x:v>
      </x:c>
      <x:c r="I665" s="18" t="str">
        <x:v>10181909-1949-0367-0000-d6f424f63198</x:v>
      </x:c>
      <x:c r="J665" s="18" t="str">
        <x:v>No</x:v>
      </x:c>
    </x:row>
    <x:row r="666" ht="34" customHeight="1">
      <x:c r="A666" s="18" t="str">
        <x:v>color-vision-check</x:v>
      </x:c>
      <x:c r="B666" s="18" t="str">
        <x:v>color blind test</x:v>
      </x:c>
      <x:c r="C666" s="19" t="n">
        <x:v>450000</x:v>
      </x:c>
      <x:c r="D666" s="18" t="str">
        <x:v>Sí</x:v>
      </x:c>
      <x:c r="E666" s="18" t="str">
        <x:v>2025-10 / 2026-09</x:v>
      </x:c>
      <x:c r="F666" s="18" t="str">
        <x:v>Global · sin filtro de idioma</x:v>
      </x:c>
      <x:c r="G666" s="18" t="str">
        <x:v>search_volume</x:v>
      </x:c>
      <x:c r="H666" s="18" t="str">
        <x:v>global-initial-screen.json</x:v>
      </x:c>
      <x:c r="I666" s="18" t="str">
        <x:v>10181645-1949-0367-0000-721aab5cac1a</x:v>
      </x:c>
      <x:c r="J666" s="18" t="str">
        <x:v>No</x:v>
      </x:c>
    </x:row>
    <x:row r="667" ht="34" customHeight="1">
      <x:c r="A667" s="18" t="str">
        <x:v>color-vision-check</x:v>
      </x:c>
      <x:c r="B667" s="18" t="str">
        <x:v>color blindness test</x:v>
      </x:c>
      <x:c r="C667" s="19" t="n">
        <x:v>450000</x:v>
      </x:c>
      <x:c r="D667" s="18" t="str">
        <x:v>No</x:v>
      </x:c>
      <x:c r="E667" s="18" t="str">
        <x:v>2025-10 / 2026-09</x:v>
      </x:c>
      <x:c r="F667" s="18" t="str">
        <x:v>Global · sin filtro de idioma</x:v>
      </x:c>
      <x:c r="G667" s="18" t="str">
        <x:v>search_volume</x:v>
      </x:c>
      <x:c r="H667" s="18" t="str">
        <x:v>global-candidates.json</x:v>
      </x:c>
      <x:c r="I667" s="18" t="str">
        <x:v>10181909-1949-0367-0000-d6f424f63198</x:v>
      </x:c>
      <x:c r="J667" s="18" t="str">
        <x:v>No</x:v>
      </x:c>
    </x:row>
    <x:row r="668" ht="34" customHeight="1">
      <x:c r="A668" s="18" t="str">
        <x:v>color-vision-check</x:v>
      </x:c>
      <x:c r="B668" s="18" t="str">
        <x:v>test daltonismo</x:v>
      </x:c>
      <x:c r="C668" s="19" t="n">
        <x:v>27100</x:v>
      </x:c>
      <x:c r="D668" s="18" t="str">
        <x:v>No</x:v>
      </x:c>
      <x:c r="E668" s="18" t="str">
        <x:v>2025-10 / 2026-09</x:v>
      </x:c>
      <x:c r="F668" s="18" t="str">
        <x:v>Global · sin filtro de idioma</x:v>
      </x:c>
      <x:c r="G668" s="18" t="str">
        <x:v>search_volume</x:v>
      </x:c>
      <x:c r="H668" s="18" t="str">
        <x:v>global-candidates.json</x:v>
      </x:c>
      <x:c r="I668" s="18" t="str">
        <x:v>10181909-1949-0367-0000-d6f424f63198</x:v>
      </x:c>
      <x:c r="J668" s="18" t="str">
        <x:v>No</x:v>
      </x:c>
    </x:row>
    <x:row r="669" ht="34" customHeight="1">
      <x:c r="A669" s="18" t="str">
        <x:v>egfr-calculator</x:v>
      </x:c>
      <x:c r="B669" s="18" t="str">
        <x:v>egfr calculator</x:v>
      </x:c>
      <x:c r="C669" s="19" t="n">
        <x:v>246000</x:v>
      </x:c>
      <x:c r="D669" s="18" t="str">
        <x:v>Sí</x:v>
      </x:c>
      <x:c r="E669" s="18" t="str">
        <x:v>2025-10 / 2026-09</x:v>
      </x:c>
      <x:c r="F669" s="18" t="str">
        <x:v>Global · sin filtro de idioma</x:v>
      </x:c>
      <x:c r="G669" s="18" t="str">
        <x:v>search_volume</x:v>
      </x:c>
      <x:c r="H669" s="18" t="str">
        <x:v>global-candidates.json</x:v>
      </x:c>
      <x:c r="I669" s="18" t="str">
        <x:v>10181909-1949-0367-0000-d6f424f63198</x:v>
      </x:c>
      <x:c r="J669" s="18" t="str">
        <x:v>No</x:v>
      </x:c>
    </x:row>
    <x:row r="670" ht="34" customHeight="1">
      <x:c r="A670" s="18" t="str">
        <x:v>egfr-calculator</x:v>
      </x:c>
      <x:c r="B670" s="18" t="str">
        <x:v>gfr calculator</x:v>
      </x:c>
      <x:c r="C670" s="19" t="n">
        <x:v>246000</x:v>
      </x:c>
      <x:c r="D670" s="18" t="str">
        <x:v>No</x:v>
      </x:c>
      <x:c r="E670" s="18" t="str">
        <x:v>2025-10 / 2026-09</x:v>
      </x:c>
      <x:c r="F670" s="18" t="str">
        <x:v>Global · sin filtro de idioma</x:v>
      </x:c>
      <x:c r="G670" s="18" t="str">
        <x:v>search_volume</x:v>
      </x:c>
      <x:c r="H670" s="18" t="str">
        <x:v>global-candidates.json</x:v>
      </x:c>
      <x:c r="I670" s="18" t="str">
        <x:v>10181909-1949-0367-0000-d6f424f63198</x:v>
      </x:c>
      <x:c r="J670" s="18" t="str">
        <x:v>No</x:v>
      </x:c>
    </x:row>
    <x:row r="671" ht="34" customHeight="1">
      <x:c r="A671" s="18" t="str">
        <x:v>egfr-calculator</x:v>
      </x:c>
      <x:c r="B671" s="18" t="str">
        <x:v>calculadora filtrado glomerular</x:v>
      </x:c>
      <x:c r="C671" s="19" t="n">
        <x:v>3600</x:v>
      </x:c>
      <x:c r="D671" s="18" t="str">
        <x:v>No</x:v>
      </x:c>
      <x:c r="E671" s="18" t="str">
        <x:v>2025-10 / 2026-09</x:v>
      </x:c>
      <x:c r="F671" s="18" t="str">
        <x:v>Global · sin filtro de idioma</x:v>
      </x:c>
      <x:c r="G671" s="18" t="str">
        <x:v>search_volume</x:v>
      </x:c>
      <x:c r="H671" s="18" t="str">
        <x:v>global-candidates.json</x:v>
      </x:c>
      <x:c r="I671" s="18" t="str">
        <x:v>10181909-1949-0367-0000-d6f424f63198</x:v>
      </x:c>
      <x:c r="J671" s="18" t="str">
        <x:v>No</x:v>
      </x:c>
    </x:row>
    <x:row r="672" ht="34" customHeight="1">
      <x:c r="A672" s="18" t="str">
        <x:v>creatinine-clearance-calculator</x:v>
      </x:c>
      <x:c r="B672" s="18" t="str">
        <x:v>creatinine clearance calculator</x:v>
      </x:c>
      <x:c r="C672" s="19" t="n">
        <x:v>74000</x:v>
      </x:c>
      <x:c r="D672" s="18" t="str">
        <x:v>Sí</x:v>
      </x:c>
      <x:c r="E672" s="18" t="str">
        <x:v>2025-10 / 2026-09</x:v>
      </x:c>
      <x:c r="F672" s="18" t="str">
        <x:v>Global · sin filtro de idioma</x:v>
      </x:c>
      <x:c r="G672" s="18" t="str">
        <x:v>search_volume</x:v>
      </x:c>
      <x:c r="H672" s="18" t="str">
        <x:v>global-candidates.json</x:v>
      </x:c>
      <x:c r="I672" s="18" t="str">
        <x:v>10181909-1949-0367-0000-d6f424f63198</x:v>
      </x:c>
      <x:c r="J672" s="18" t="str">
        <x:v>No</x:v>
      </x:c>
    </x:row>
    <x:row r="673" ht="34" customHeight="1">
      <x:c r="A673" s="18" t="str">
        <x:v>creatinine-clearance-calculator</x:v>
      </x:c>
      <x:c r="B673" s="18" t="str">
        <x:v>crcl calculator</x:v>
      </x:c>
      <x:c r="C673" s="19" t="n">
        <x:v>60500</x:v>
      </x:c>
      <x:c r="D673" s="18" t="str">
        <x:v>No</x:v>
      </x:c>
      <x:c r="E673" s="18" t="str">
        <x:v>2025-10 / 2026-09</x:v>
      </x:c>
      <x:c r="F673" s="18" t="str">
        <x:v>Global · sin filtro de idioma</x:v>
      </x:c>
      <x:c r="G673" s="18" t="str">
        <x:v>search_volume</x:v>
      </x:c>
      <x:c r="H673" s="18" t="str">
        <x:v>global-candidates.json</x:v>
      </x:c>
      <x:c r="I673" s="18" t="str">
        <x:v>10181909-1949-0367-0000-d6f424f63198</x:v>
      </x:c>
      <x:c r="J673" s="18" t="str">
        <x:v>No</x:v>
      </x:c>
    </x:row>
    <x:row r="674" ht="34" customHeight="1">
      <x:c r="A674" s="18" t="str">
        <x:v>creatinine-clearance-calculator</x:v>
      </x:c>
      <x:c r="B674" s="18" t="str">
        <x:v>cockcroft gault calculator</x:v>
      </x:c>
      <x:c r="C674" s="19" t="str">
        <x:v>n.a.</x:v>
      </x:c>
      <x:c r="D674" s="18" t="str">
        <x:v>No</x:v>
      </x:c>
      <x:c r="E674" s="18" t="str">
        <x:v>n.a.</x:v>
      </x:c>
      <x:c r="F674" s="18" t="str">
        <x:v>Global · sin filtro de idioma</x:v>
      </x:c>
      <x:c r="G674" s="18" t="str">
        <x:v>search_volume</x:v>
      </x:c>
      <x:c r="H674" s="18" t="str">
        <x:v>global-candidates.json</x:v>
      </x:c>
      <x:c r="I674" s="18" t="str">
        <x:v>10181909-1949-0367-0000-d6f424f63198</x:v>
      </x:c>
      <x:c r="J674" s="18" t="str">
        <x:v>No</x:v>
      </x:c>
    </x:row>
    <x:row r="675" ht="34" customHeight="1">
      <x:c r="A675" s="18" t="str">
        <x:v>qtc-calculator</x:v>
      </x:c>
      <x:c r="B675" s="18" t="str">
        <x:v>qtc calculator</x:v>
      </x:c>
      <x:c r="C675" s="19" t="n">
        <x:v>33100</x:v>
      </x:c>
      <x:c r="D675" s="18" t="str">
        <x:v>Sí</x:v>
      </x:c>
      <x:c r="E675" s="18" t="str">
        <x:v>2025-10 / 2026-09</x:v>
      </x:c>
      <x:c r="F675" s="18" t="str">
        <x:v>Global · sin filtro de idioma</x:v>
      </x:c>
      <x:c r="G675" s="18" t="str">
        <x:v>search_volume</x:v>
      </x:c>
      <x:c r="H675" s="18" t="str">
        <x:v>global-candidates.json</x:v>
      </x:c>
      <x:c r="I675" s="18" t="str">
        <x:v>10181909-1949-0367-0000-d6f424f63198</x:v>
      </x:c>
      <x:c r="J675" s="18" t="str">
        <x:v>No</x:v>
      </x:c>
    </x:row>
    <x:row r="676" ht="34" customHeight="1">
      <x:c r="A676" s="18" t="str">
        <x:v>qtc-calculator</x:v>
      </x:c>
      <x:c r="B676" s="18" t="str">
        <x:v>qt calculator</x:v>
      </x:c>
      <x:c r="C676" s="19" t="n">
        <x:v>3600</x:v>
      </x:c>
      <x:c r="D676" s="18" t="str">
        <x:v>No</x:v>
      </x:c>
      <x:c r="E676" s="18" t="str">
        <x:v>2025-10 / 2026-09</x:v>
      </x:c>
      <x:c r="F676" s="18" t="str">
        <x:v>Global · sin filtro de idioma</x:v>
      </x:c>
      <x:c r="G676" s="18" t="str">
        <x:v>search_volume</x:v>
      </x:c>
      <x:c r="H676" s="18" t="str">
        <x:v>global-candidates.json</x:v>
      </x:c>
      <x:c r="I676" s="18" t="str">
        <x:v>10181909-1949-0367-0000-d6f424f63198</x:v>
      </x:c>
      <x:c r="J676" s="18" t="str">
        <x:v>No</x:v>
      </x:c>
    </x:row>
    <x:row r="677" ht="34" customHeight="1">
      <x:c r="A677" s="18" t="str">
        <x:v>qtc-calculator</x:v>
      </x:c>
      <x:c r="B677" s="18" t="str">
        <x:v>corrected qt</x:v>
      </x:c>
      <x:c r="C677" s="19" t="n">
        <x:v>5400</x:v>
      </x:c>
      <x:c r="D677" s="18" t="str">
        <x:v>No</x:v>
      </x:c>
      <x:c r="E677" s="18" t="str">
        <x:v>2025-10 / 2026-09</x:v>
      </x:c>
      <x:c r="F677" s="18" t="str">
        <x:v>Global · sin filtro de idioma</x:v>
      </x:c>
      <x:c r="G677" s="18" t="str">
        <x:v>search_volume</x:v>
      </x:c>
      <x:c r="H677" s="18" t="str">
        <x:v>global-candidates.json</x:v>
      </x:c>
      <x:c r="I677" s="18" t="str">
        <x:v>10181909-1949-0367-0000-d6f424f63198</x:v>
      </x:c>
      <x:c r="J677" s="18" t="str">
        <x:v>No</x:v>
      </x:c>
    </x:row>
    <x:row r="678" ht="34" customHeight="1">
      <x:c r="A678" s="18" t="str">
        <x:v>hba1c-eag-calculator</x:v>
      </x:c>
      <x:c r="B678" s="18" t="str">
        <x:v>a1c calculator</x:v>
      </x:c>
      <x:c r="C678" s="19" t="n">
        <x:v>27100</x:v>
      </x:c>
      <x:c r="D678" s="18" t="str">
        <x:v>Sí</x:v>
      </x:c>
      <x:c r="E678" s="18" t="str">
        <x:v>2025-10 / 2026-09</x:v>
      </x:c>
      <x:c r="F678" s="18" t="str">
        <x:v>Global · sin filtro de idioma</x:v>
      </x:c>
      <x:c r="G678" s="18" t="str">
        <x:v>search_volume</x:v>
      </x:c>
      <x:c r="H678" s="18" t="str">
        <x:v>global-candidates.json</x:v>
      </x:c>
      <x:c r="I678" s="18" t="str">
        <x:v>10181909-1949-0367-0000-d6f424f63198</x:v>
      </x:c>
      <x:c r="J678" s="18" t="str">
        <x:v>No</x:v>
      </x:c>
    </x:row>
    <x:row r="679" ht="34" customHeight="1">
      <x:c r="A679" s="18" t="str">
        <x:v>hba1c-eag-calculator</x:v>
      </x:c>
      <x:c r="B679" s="18" t="str">
        <x:v>hba1c calculator</x:v>
      </x:c>
      <x:c r="C679" s="19" t="n">
        <x:v>18100</x:v>
      </x:c>
      <x:c r="D679" s="18" t="str">
        <x:v>No</x:v>
      </x:c>
      <x:c r="E679" s="18" t="str">
        <x:v>2025-10 / 2026-09</x:v>
      </x:c>
      <x:c r="F679" s="18" t="str">
        <x:v>Global · sin filtro de idioma</x:v>
      </x:c>
      <x:c r="G679" s="18" t="str">
        <x:v>search_volume</x:v>
      </x:c>
      <x:c r="H679" s="18" t="str">
        <x:v>global-candidates.json</x:v>
      </x:c>
      <x:c r="I679" s="18" t="str">
        <x:v>10181909-1949-0367-0000-d6f424f63198</x:v>
      </x:c>
      <x:c r="J679" s="18" t="str">
        <x:v>No</x:v>
      </x:c>
    </x:row>
    <x:row r="680" ht="34" customHeight="1">
      <x:c r="A680" s="18" t="str">
        <x:v>hba1c-eag-calculator</x:v>
      </x:c>
      <x:c r="B680" s="18" t="str">
        <x:v>estimated average glucose</x:v>
      </x:c>
      <x:c r="C680" s="19" t="n">
        <x:v>14800</x:v>
      </x:c>
      <x:c r="D680" s="18" t="str">
        <x:v>No</x:v>
      </x:c>
      <x:c r="E680" s="18" t="str">
        <x:v>2025-10 / 2026-09</x:v>
      </x:c>
      <x:c r="F680" s="18" t="str">
        <x:v>Global · sin filtro de idioma</x:v>
      </x:c>
      <x:c r="G680" s="18" t="str">
        <x:v>search_volume</x:v>
      </x:c>
      <x:c r="H680" s="18" t="str">
        <x:v>global-candidates.json</x:v>
      </x:c>
      <x:c r="I680" s="18" t="str">
        <x:v>10181909-1949-0367-0000-d6f424f63198</x:v>
      </x:c>
      <x:c r="J680" s="18" t="str">
        <x:v>No</x:v>
      </x:c>
    </x:row>
    <x:row r="681" ht="34" customHeight="1">
      <x:c r="A681" s="18" t="str">
        <x:v>pregnancy-weight-gain</x:v>
      </x:c>
      <x:c r="B681" s="18" t="str">
        <x:v>pregnancy weight gain calculator</x:v>
      </x:c>
      <x:c r="C681" s="19" t="n">
        <x:v>27100</x:v>
      </x:c>
      <x:c r="D681" s="18" t="str">
        <x:v>Sí</x:v>
      </x:c>
      <x:c r="E681" s="18" t="str">
        <x:v>2025-10 / 2026-09</x:v>
      </x:c>
      <x:c r="F681" s="18" t="str">
        <x:v>Global · sin filtro de idioma</x:v>
      </x:c>
      <x:c r="G681" s="18" t="str">
        <x:v>search_volume</x:v>
      </x:c>
      <x:c r="H681" s="18" t="str">
        <x:v>global-candidates.json</x:v>
      </x:c>
      <x:c r="I681" s="18" t="str">
        <x:v>10181909-1949-0367-0000-d6f424f63198</x:v>
      </x:c>
      <x:c r="J681" s="18" t="str">
        <x:v>No</x:v>
      </x:c>
    </x:row>
    <x:row r="682" ht="34" customHeight="1">
      <x:c r="A682" s="18" t="str">
        <x:v>pregnancy-weight-gain</x:v>
      </x:c>
      <x:c r="B682" s="18" t="str">
        <x:v>pregnancy weight calculator</x:v>
      </x:c>
      <x:c r="C682" s="19" t="n">
        <x:v>27100</x:v>
      </x:c>
      <x:c r="D682" s="18" t="str">
        <x:v>No</x:v>
      </x:c>
      <x:c r="E682" s="18" t="str">
        <x:v>2025-10 / 2026-09</x:v>
      </x:c>
      <x:c r="F682" s="18" t="str">
        <x:v>Global · sin filtro de idioma</x:v>
      </x:c>
      <x:c r="G682" s="18" t="str">
        <x:v>search_volume</x:v>
      </x:c>
      <x:c r="H682" s="18" t="str">
        <x:v>global-candidates.json</x:v>
      </x:c>
      <x:c r="I682" s="18" t="str">
        <x:v>10181909-1949-0367-0000-d6f424f63198</x:v>
      </x:c>
      <x:c r="J682" s="18" t="str">
        <x:v>No</x:v>
      </x:c>
    </x:row>
    <x:row r="683" ht="34" customHeight="1">
      <x:c r="A683" s="18" t="str">
        <x:v>pregnancy-weight-gain</x:v>
      </x:c>
      <x:c r="B683" s="18" t="str">
        <x:v>peso embarazo</x:v>
      </x:c>
      <x:c r="C683" s="19" t="n">
        <x:v>1000</x:v>
      </x:c>
      <x:c r="D683" s="18" t="str">
        <x:v>No</x:v>
      </x:c>
      <x:c r="E683" s="18" t="str">
        <x:v>2025-10 / 2026-09</x:v>
      </x:c>
      <x:c r="F683" s="18" t="str">
        <x:v>Global · sin filtro de idioma</x:v>
      </x:c>
      <x:c r="G683" s="18" t="str">
        <x:v>search_volume</x:v>
      </x:c>
      <x:c r="H683" s="18" t="str">
        <x:v>global-candidates.json</x:v>
      </x:c>
      <x:c r="I683" s="18" t="str">
        <x:v>10181909-1949-0367-0000-d6f424f63198</x:v>
      </x:c>
      <x:c r="J683" s="18" t="str">
        <x:v>No</x:v>
      </x:c>
    </x:row>
    <x:row r="684" ht="34" customHeight="1">
      <x:c r="A684" s="18" t="str">
        <x:v>blood-pressure-log</x:v>
      </x:c>
      <x:c r="B684" s="18" t="str">
        <x:v>blood pressure tracker</x:v>
      </x:c>
      <x:c r="C684" s="19" t="n">
        <x:v>3600</x:v>
      </x:c>
      <x:c r="D684" s="18" t="str">
        <x:v>No</x:v>
      </x:c>
      <x:c r="E684" s="18" t="str">
        <x:v>2025-10 / 2026-09</x:v>
      </x:c>
      <x:c r="F684" s="18" t="str">
        <x:v>Global · sin filtro de idioma</x:v>
      </x:c>
      <x:c r="G684" s="18" t="str">
        <x:v>search_volume</x:v>
      </x:c>
      <x:c r="H684" s="18" t="str">
        <x:v>global-candidates.json</x:v>
      </x:c>
      <x:c r="I684" s="18" t="str">
        <x:v>10181909-1949-0367-0000-d6f424f63198</x:v>
      </x:c>
      <x:c r="J684" s="18" t="str">
        <x:v>No</x:v>
      </x:c>
    </x:row>
    <x:row r="685" ht="34" customHeight="1">
      <x:c r="A685" s="18" t="str">
        <x:v>blood-pressure-log</x:v>
      </x:c>
      <x:c r="B685" s="18" t="str">
        <x:v>blood pressure log</x:v>
      </x:c>
      <x:c r="C685" s="19" t="n">
        <x:v>12100</x:v>
      </x:c>
      <x:c r="D685" s="18" t="str">
        <x:v>Sí</x:v>
      </x:c>
      <x:c r="E685" s="18" t="str">
        <x:v>2025-10 / 2026-09</x:v>
      </x:c>
      <x:c r="F685" s="18" t="str">
        <x:v>Global · sin filtro de idioma</x:v>
      </x:c>
      <x:c r="G685" s="18" t="str">
        <x:v>search_volume</x:v>
      </x:c>
      <x:c r="H685" s="18" t="str">
        <x:v>global-refinement.json</x:v>
      </x:c>
      <x:c r="I685" s="18" t="str">
        <x:v>10181917-1949-0367-0000-6ceea1dc515c</x:v>
      </x:c>
      <x:c r="J685" s="18" t="str">
        <x:v>No</x:v>
      </x:c>
    </x:row>
    <x:row r="686" ht="34" customHeight="1">
      <x:c r="A686" s="18" t="str">
        <x:v>medication-schedule</x:v>
      </x:c>
      <x:c r="B686" s="18" t="str">
        <x:v>medication reminder</x:v>
      </x:c>
      <x:c r="C686" s="19" t="n">
        <x:v>4400</x:v>
      </x:c>
      <x:c r="D686" s="18" t="str">
        <x:v>Sí</x:v>
      </x:c>
      <x:c r="E686" s="18" t="str">
        <x:v>2025-10 / 2026-09</x:v>
      </x:c>
      <x:c r="F686" s="18" t="str">
        <x:v>Global · sin filtro de idioma</x:v>
      </x:c>
      <x:c r="G686" s="18" t="str">
        <x:v>search_volume</x:v>
      </x:c>
      <x:c r="H686" s="18" t="str">
        <x:v>global-candidates.json</x:v>
      </x:c>
      <x:c r="I686" s="18" t="str">
        <x:v>10181909-1949-0367-0000-d6f424f63198</x:v>
      </x:c>
      <x:c r="J686" s="18" t="str">
        <x:v>No</x:v>
      </x:c>
    </x:row>
    <x:row r="687" ht="34" customHeight="1">
      <x:c r="A687" s="18" t="str">
        <x:v>medication-schedule</x:v>
      </x:c>
      <x:c r="B687" s="18" t="str">
        <x:v>medicine schedule</x:v>
      </x:c>
      <x:c r="C687" s="19" t="n">
        <x:v>1000</x:v>
      </x:c>
      <x:c r="D687" s="18" t="str">
        <x:v>No</x:v>
      </x:c>
      <x:c r="E687" s="18" t="str">
        <x:v>2025-10 / 2026-09</x:v>
      </x:c>
      <x:c r="F687" s="18" t="str">
        <x:v>Global · sin filtro de idioma</x:v>
      </x:c>
      <x:c r="G687" s="18" t="str">
        <x:v>search_volume</x:v>
      </x:c>
      <x:c r="H687" s="18" t="str">
        <x:v>global-candidates.json</x:v>
      </x:c>
      <x:c r="I687" s="18" t="str">
        <x:v>10181909-1949-0367-0000-d6f424f63198</x:v>
      </x:c>
      <x:c r="J687" s="18" t="str">
        <x:v>No</x:v>
      </x:c>
    </x:row>
    <x:row r="688" ht="34" customHeight="1">
      <x:c r="A688" s="18" t="str">
        <x:v>medication-schedule</x:v>
      </x:c>
      <x:c r="B688" s="18" t="str">
        <x:v>recordatorio medicamentos</x:v>
      </x:c>
      <x:c r="C688" s="19" t="n">
        <x:v>110</x:v>
      </x:c>
      <x:c r="D688" s="18" t="str">
        <x:v>No</x:v>
      </x:c>
      <x:c r="E688" s="18" t="str">
        <x:v>2025-10 / 2026-09</x:v>
      </x:c>
      <x:c r="F688" s="18" t="str">
        <x:v>Global · sin filtro de idioma</x:v>
      </x:c>
      <x:c r="G688" s="18" t="str">
        <x:v>search_volume</x:v>
      </x:c>
      <x:c r="H688" s="18" t="str">
        <x:v>global-candidates.json</x:v>
      </x:c>
      <x:c r="I688" s="18" t="str">
        <x:v>10181909-1949-0367-0000-d6f424f63198</x:v>
      </x:c>
      <x:c r="J688" s="18" t="str">
        <x:v>No</x:v>
      </x:c>
    </x:row>
    <x:row r="689" ht="34" customHeight="1">
      <x:c r="A689" s="18" t="str">
        <x:v>vaccination-schedule</x:v>
      </x:c>
      <x:c r="B689" s="18" t="str">
        <x:v>vaccination schedule</x:v>
      </x:c>
      <x:c r="C689" s="19" t="n">
        <x:v>110000</x:v>
      </x:c>
      <x:c r="D689" s="18" t="str">
        <x:v>Sí</x:v>
      </x:c>
      <x:c r="E689" s="18" t="str">
        <x:v>2025-10 / 2026-09</x:v>
      </x:c>
      <x:c r="F689" s="18" t="str">
        <x:v>Global · sin filtro de idioma</x:v>
      </x:c>
      <x:c r="G689" s="18" t="str">
        <x:v>search_volume</x:v>
      </x:c>
      <x:c r="H689" s="18" t="str">
        <x:v>global-candidates.json</x:v>
      </x:c>
      <x:c r="I689" s="18" t="str">
        <x:v>10181909-1949-0367-0000-d6f424f63198</x:v>
      </x:c>
      <x:c r="J689" s="18" t="str">
        <x:v>No</x:v>
      </x:c>
    </x:row>
    <x:row r="690" ht="34" customHeight="1">
      <x:c r="A690" s="18" t="str">
        <x:v>vaccination-schedule</x:v>
      </x:c>
      <x:c r="B690" s="18" t="str">
        <x:v>vaccine schedule</x:v>
      </x:c>
      <x:c r="C690" s="19" t="n">
        <x:v>110000</x:v>
      </x:c>
      <x:c r="D690" s="18" t="str">
        <x:v>No</x:v>
      </x:c>
      <x:c r="E690" s="18" t="str">
        <x:v>2025-10 / 2026-09</x:v>
      </x:c>
      <x:c r="F690" s="18" t="str">
        <x:v>Global · sin filtro de idioma</x:v>
      </x:c>
      <x:c r="G690" s="18" t="str">
        <x:v>search_volume</x:v>
      </x:c>
      <x:c r="H690" s="18" t="str">
        <x:v>global-candidates.json</x:v>
      </x:c>
      <x:c r="I690" s="18" t="str">
        <x:v>10181909-1949-0367-0000-d6f424f63198</x:v>
      </x:c>
      <x:c r="J690" s="18" t="str">
        <x:v>No</x:v>
      </x:c>
    </x:row>
    <x:row r="691" ht="34" customHeight="1">
      <x:c r="A691" s="18" t="str">
        <x:v>vaccination-schedule</x:v>
      </x:c>
      <x:c r="B691" s="18" t="str">
        <x:v>calendario vacunacion</x:v>
      </x:c>
      <x:c r="C691" s="19" t="n">
        <x:v>5400</x:v>
      </x:c>
      <x:c r="D691" s="18" t="str">
        <x:v>No</x:v>
      </x:c>
      <x:c r="E691" s="18" t="str">
        <x:v>2025-10 / 2026-09</x:v>
      </x:c>
      <x:c r="F691" s="18" t="str">
        <x:v>Global · sin filtro de idioma</x:v>
      </x:c>
      <x:c r="G691" s="18" t="str">
        <x:v>search_volume</x:v>
      </x:c>
      <x:c r="H691" s="18" t="str">
        <x:v>global-candidates.json</x:v>
      </x:c>
      <x:c r="I691" s="18" t="str">
        <x:v>10181909-1949-0367-0000-d6f424f63198</x:v>
      </x:c>
      <x:c r="J691" s="18" t="str">
        <x:v>No</x:v>
      </x:c>
    </x:row>
    <x:row r="692" ht="34" customHeight="1">
      <x:c r="A692" s="18" t="str">
        <x:v>menopause-symptom-log</x:v>
      </x:c>
      <x:c r="B692" s="18" t="str">
        <x:v>menopause symptom tracker</x:v>
      </x:c>
      <x:c r="C692" s="19" t="n">
        <x:v>320</x:v>
      </x:c>
      <x:c r="D692" s="18" t="str">
        <x:v>Sí</x:v>
      </x:c>
      <x:c r="E692" s="18" t="str">
        <x:v>2025-10 / 2026-09</x:v>
      </x:c>
      <x:c r="F692" s="18" t="str">
        <x:v>Global · sin filtro de idioma</x:v>
      </x:c>
      <x:c r="G692" s="18" t="str">
        <x:v>search_volume</x:v>
      </x:c>
      <x:c r="H692" s="18" t="str">
        <x:v>global-candidates.json</x:v>
      </x:c>
      <x:c r="I692" s="18" t="str">
        <x:v>10181909-1949-0367-0000-d6f424f63198</x:v>
      </x:c>
      <x:c r="J692" s="18" t="str">
        <x:v>No</x:v>
      </x:c>
    </x:row>
    <x:row r="693" ht="34" customHeight="1">
      <x:c r="A693" s="18" t="str">
        <x:v>menopause-symptom-log</x:v>
      </x:c>
      <x:c r="B693" s="18" t="str">
        <x:v>menopause tracker</x:v>
      </x:c>
      <x:c r="C693" s="19" t="n">
        <x:v>320</x:v>
      </x:c>
      <x:c r="D693" s="18" t="str">
        <x:v>No</x:v>
      </x:c>
      <x:c r="E693" s="18" t="str">
        <x:v>2025-10 / 2026-09</x:v>
      </x:c>
      <x:c r="F693" s="18" t="str">
        <x:v>Global · sin filtro de idioma</x:v>
      </x:c>
      <x:c r="G693" s="18" t="str">
        <x:v>search_volume</x:v>
      </x:c>
      <x:c r="H693" s="18" t="str">
        <x:v>global-candidates.json</x:v>
      </x:c>
      <x:c r="I693" s="18" t="str">
        <x:v>10181909-1949-0367-0000-d6f424f63198</x:v>
      </x:c>
      <x:c r="J693" s="18" t="str">
        <x:v>No</x:v>
      </x:c>
    </x:row>
    <x:row r="694" ht="34" customHeight="1">
      <x:c r="A694" s="18" t="str">
        <x:v>menopause-symptom-log</x:v>
      </x:c>
      <x:c r="B694" s="18" t="str">
        <x:v>registro menopausia</x:v>
      </x:c>
      <x:c r="C694" s="19" t="str">
        <x:v>n.a.</x:v>
      </x:c>
      <x:c r="D694" s="18" t="str">
        <x:v>No</x:v>
      </x:c>
      <x:c r="E694" s="18" t="str">
        <x:v>n.a.</x:v>
      </x:c>
      <x:c r="F694" s="18" t="str">
        <x:v>Global · sin filtro de idioma</x:v>
      </x:c>
      <x:c r="G694" s="18" t="str">
        <x:v>search_volume</x:v>
      </x:c>
      <x:c r="H694" s="18" t="str">
        <x:v>global-candidates.json</x:v>
      </x:c>
      <x:c r="I694" s="18" t="str">
        <x:v>10181909-1949-0367-0000-d6f424f63198</x:v>
      </x:c>
      <x:c r="J694" s="18" t="str">
        <x:v>No</x:v>
      </x:c>
    </x:row>
    <x:row r="695" ht="34" customHeight="1">
      <x:c r="A695" s="18" t="str">
        <x:v>us-paycheck-calculator</x:v>
      </x:c>
      <x:c r="B695" s="18" t="str">
        <x:v>paycheck calculator</x:v>
      </x:c>
      <x:c r="C695" s="19" t="n">
        <x:v>673000</x:v>
      </x:c>
      <x:c r="D695" s="18" t="str">
        <x:v>Sí</x:v>
      </x:c>
      <x:c r="E695" s="18" t="str">
        <x:v>2025-10 / 2026-09</x:v>
      </x:c>
      <x:c r="F695" s="18" t="str">
        <x:v>Global · sin filtro de idioma</x:v>
      </x:c>
      <x:c r="G695" s="18" t="str">
        <x:v>search_volume</x:v>
      </x:c>
      <x:c r="H695" s="18" t="str">
        <x:v>global-candidates.json</x:v>
      </x:c>
      <x:c r="I695" s="18" t="str">
        <x:v>10181909-1949-0367-0000-d6f424f63198</x:v>
      </x:c>
      <x:c r="J695" s="18" t="str">
        <x:v>No</x:v>
      </x:c>
    </x:row>
    <x:row r="696" ht="34" customHeight="1">
      <x:c r="A696" s="18" t="str">
        <x:v>us-paycheck-calculator</x:v>
      </x:c>
      <x:c r="B696" s="18" t="str">
        <x:v>salary paycheck calculator</x:v>
      </x:c>
      <x:c r="C696" s="19" t="n">
        <x:v>33100</x:v>
      </x:c>
      <x:c r="D696" s="18" t="str">
        <x:v>No</x:v>
      </x:c>
      <x:c r="E696" s="18" t="str">
        <x:v>2025-10 / 2026-09</x:v>
      </x:c>
      <x:c r="F696" s="18" t="str">
        <x:v>Global · sin filtro de idioma</x:v>
      </x:c>
      <x:c r="G696" s="18" t="str">
        <x:v>search_volume</x:v>
      </x:c>
      <x:c r="H696" s="18" t="str">
        <x:v>global-candidates.json</x:v>
      </x:c>
      <x:c r="I696" s="18" t="str">
        <x:v>10181909-1949-0367-0000-d6f424f63198</x:v>
      </x:c>
      <x:c r="J696" s="18" t="str">
        <x:v>No</x:v>
      </x:c>
    </x:row>
    <x:row r="697" ht="34" customHeight="1">
      <x:c r="A697" s="18" t="str">
        <x:v>us-paycheck-calculator</x:v>
      </x:c>
      <x:c r="B697" s="18" t="str">
        <x:v>take home pay calculator</x:v>
      </x:c>
      <x:c r="C697" s="19" t="n">
        <x:v>368000</x:v>
      </x:c>
      <x:c r="D697" s="18" t="str">
        <x:v>No</x:v>
      </x:c>
      <x:c r="E697" s="18" t="str">
        <x:v>2025-10 / 2026-09</x:v>
      </x:c>
      <x:c r="F697" s="18" t="str">
        <x:v>Global · sin filtro de idioma</x:v>
      </x:c>
      <x:c r="G697" s="18" t="str">
        <x:v>search_volume</x:v>
      </x:c>
      <x:c r="H697" s="18" t="str">
        <x:v>global-candidates.json</x:v>
      </x:c>
      <x:c r="I697" s="18" t="str">
        <x:v>10181909-1949-0367-0000-d6f424f63198</x:v>
      </x:c>
      <x:c r="J697" s="18" t="str">
        <x:v>No</x:v>
      </x:c>
    </x:row>
    <x:row r="698" ht="34" customHeight="1">
      <x:c r="A698" s="18" t="str">
        <x:v>india-income-tax-calculator</x:v>
      </x:c>
      <x:c r="B698" s="18" t="str">
        <x:v>income tax calculator</x:v>
      </x:c>
      <x:c r="C698" s="19" t="n">
        <x:v>550000</x:v>
      </x:c>
      <x:c r="D698" s="18" t="str">
        <x:v>Sí</x:v>
      </x:c>
      <x:c r="E698" s="18" t="str">
        <x:v>2025-10 / 2026-09</x:v>
      </x:c>
      <x:c r="F698" s="18" t="str">
        <x:v>Global · sin filtro de idioma</x:v>
      </x:c>
      <x:c r="G698" s="18" t="str">
        <x:v>search_volume</x:v>
      </x:c>
      <x:c r="H698" s="18" t="str">
        <x:v>global-candidates.json</x:v>
      </x:c>
      <x:c r="I698" s="18" t="str">
        <x:v>10181909-1949-0367-0000-d6f424f63198</x:v>
      </x:c>
      <x:c r="J698" s="18" t="str">
        <x:v>No</x:v>
      </x:c>
    </x:row>
    <x:row r="699" ht="34" customHeight="1">
      <x:c r="A699" s="18" t="str">
        <x:v>india-income-tax-calculator</x:v>
      </x:c>
      <x:c r="B699" s="18" t="str">
        <x:v>income tax calculator india</x:v>
      </x:c>
      <x:c r="C699" s="19" t="n">
        <x:v>550000</x:v>
      </x:c>
      <x:c r="D699" s="18" t="str">
        <x:v>No</x:v>
      </x:c>
      <x:c r="E699" s="18" t="str">
        <x:v>2025-10 / 2026-09</x:v>
      </x:c>
      <x:c r="F699" s="18" t="str">
        <x:v>Global · sin filtro de idioma</x:v>
      </x:c>
      <x:c r="G699" s="18" t="str">
        <x:v>search_volume</x:v>
      </x:c>
      <x:c r="H699" s="18" t="str">
        <x:v>global-candidates.json</x:v>
      </x:c>
      <x:c r="I699" s="18" t="str">
        <x:v>10181909-1949-0367-0000-d6f424f63198</x:v>
      </x:c>
      <x:c r="J699" s="18" t="str">
        <x:v>No</x:v>
      </x:c>
    </x:row>
    <x:row r="700" ht="34" customHeight="1">
      <x:c r="A700" s="18" t="str">
        <x:v>india-income-tax-calculator</x:v>
      </x:c>
      <x:c r="B700" s="18" t="str">
        <x:v>tax calculator india</x:v>
      </x:c>
      <x:c r="C700" s="19" t="n">
        <x:v>14800</x:v>
      </x:c>
      <x:c r="D700" s="18" t="str">
        <x:v>No</x:v>
      </x:c>
      <x:c r="E700" s="18" t="str">
        <x:v>2025-10 / 2026-09</x:v>
      </x:c>
      <x:c r="F700" s="18" t="str">
        <x:v>Global · sin filtro de idioma</x:v>
      </x:c>
      <x:c r="G700" s="18" t="str">
        <x:v>search_volume</x:v>
      </x:c>
      <x:c r="H700" s="18" t="str">
        <x:v>global-candidates.json</x:v>
      </x:c>
      <x:c r="I700" s="18" t="str">
        <x:v>10181909-1949-0367-0000-d6f424f63198</x:v>
      </x:c>
      <x:c r="J700" s="18" t="str">
        <x:v>No</x:v>
      </x:c>
    </x:row>
    <x:row r="701" ht="34" customHeight="1">
      <x:c r="A701" s="18" t="str">
        <x:v>brazil-termination-calculator</x:v>
      </x:c>
      <x:c r="B701" s="18" t="str">
        <x:v>calculadora de rescisão</x:v>
      </x:c>
      <x:c r="C701" s="19" t="n">
        <x:v>90500</x:v>
      </x:c>
      <x:c r="D701" s="18" t="str">
        <x:v>No</x:v>
      </x:c>
      <x:c r="E701" s="18" t="str">
        <x:v>2025-10 / 2026-09</x:v>
      </x:c>
      <x:c r="F701" s="18" t="str">
        <x:v>Global · sin filtro de idioma</x:v>
      </x:c>
      <x:c r="G701" s="18" t="str">
        <x:v>keywords_for_keywords</x:v>
      </x:c>
      <x:c r="H701" s="18" t="str">
        <x:v>discovery-multilingual-west.json</x:v>
      </x:c>
      <x:c r="I701" s="18" t="str">
        <x:v>10181858-1949-0368-0000-9de5915b6644</x:v>
      </x:c>
      <x:c r="J701" s="18" t="str">
        <x:v>No</x:v>
      </x:c>
    </x:row>
    <x:row r="702" ht="34" customHeight="1">
      <x:c r="A702" s="18" t="str">
        <x:v>brazil-termination-calculator</x:v>
      </x:c>
      <x:c r="B702" s="18" t="str">
        <x:v>calculo rescisao</x:v>
      </x:c>
      <x:c r="C702" s="19" t="n">
        <x:v>33100</x:v>
      </x:c>
      <x:c r="D702" s="18" t="str">
        <x:v>No</x:v>
      </x:c>
      <x:c r="E702" s="18" t="str">
        <x:v>2025-10 / 2026-09</x:v>
      </x:c>
      <x:c r="F702" s="18" t="str">
        <x:v>Global · sin filtro de idioma</x:v>
      </x:c>
      <x:c r="G702" s="18" t="str">
        <x:v>search_volume</x:v>
      </x:c>
      <x:c r="H702" s="18" t="str">
        <x:v>global-candidates.json</x:v>
      </x:c>
      <x:c r="I702" s="18" t="str">
        <x:v>10181909-1949-0367-0000-d6f424f63198</x:v>
      </x:c>
      <x:c r="J702" s="18" t="str">
        <x:v>No</x:v>
      </x:c>
    </x:row>
    <x:row r="703" ht="34" customHeight="1">
      <x:c r="A703" s="18" t="str">
        <x:v>brazil-termination-calculator</x:v>
      </x:c>
      <x:c r="B703" s="18" t="str">
        <x:v>rescisão trabalhista</x:v>
      </x:c>
      <x:c r="C703" s="19" t="n">
        <x:v>14800</x:v>
      </x:c>
      <x:c r="D703" s="18" t="str">
        <x:v>No</x:v>
      </x:c>
      <x:c r="E703" s="18" t="str">
        <x:v>2025-10 / 2026-09</x:v>
      </x:c>
      <x:c r="F703" s="18" t="str">
        <x:v>Global · sin filtro de idioma</x:v>
      </x:c>
      <x:c r="G703" s="18" t="str">
        <x:v>search_volume</x:v>
      </x:c>
      <x:c r="H703" s="18" t="str">
        <x:v>global-candidates.json</x:v>
      </x:c>
      <x:c r="I703" s="18" t="str">
        <x:v>10181909-1949-0367-0000-d6f424f63198</x:v>
      </x:c>
      <x:c r="J703" s="18" t="str">
        <x:v>No</x:v>
      </x:c>
    </x:row>
    <x:row r="704" ht="34" customHeight="1">
      <x:c r="A704" s="18" t="str">
        <x:v>brazil-termination-calculator</x:v>
      </x:c>
      <x:c r="B704" s="18" t="str">
        <x:v>calculadora rescisão</x:v>
      </x:c>
      <x:c r="C704" s="19" t="n">
        <x:v>450000</x:v>
      </x:c>
      <x:c r="D704" s="18" t="str">
        <x:v>Sí</x:v>
      </x:c>
      <x:c r="E704" s="18" t="str">
        <x:v>2025-10 / 2026-09</x:v>
      </x:c>
      <x:c r="F704" s="18" t="str">
        <x:v>Global · sin filtro de idioma</x:v>
      </x:c>
      <x:c r="G704" s="18" t="str">
        <x:v>search_volume</x:v>
      </x:c>
      <x:c r="H704" s="18" t="str">
        <x:v>global-refinement.json</x:v>
      </x:c>
      <x:c r="I704" s="18" t="str">
        <x:v>10181917-1949-0367-0000-6ceea1dc515c</x:v>
      </x:c>
      <x:c r="J704" s="18" t="str">
        <x:v>No</x:v>
      </x:c>
    </x:row>
    <x:row r="705" ht="34" customHeight="1">
      <x:c r="A705" s="18" t="str">
        <x:v>brazil-termination-calculator</x:v>
      </x:c>
      <x:c r="B705" s="18" t="str">
        <x:v>cálculo rescisão</x:v>
      </x:c>
      <x:c r="C705" s="19" t="n">
        <x:v>450000</x:v>
      </x:c>
      <x:c r="D705" s="18" t="str">
        <x:v>No</x:v>
      </x:c>
      <x:c r="E705" s="18" t="str">
        <x:v>2025-10 / 2026-09</x:v>
      </x:c>
      <x:c r="F705" s="18" t="str">
        <x:v>Global · sin filtro de idioma</x:v>
      </x:c>
      <x:c r="G705" s="18" t="str">
        <x:v>search_volume</x:v>
      </x:c>
      <x:c r="H705" s="18" t="str">
        <x:v>global-refinement.json</x:v>
      </x:c>
      <x:c r="I705" s="18" t="str">
        <x:v>10181917-1949-0367-0000-6ceea1dc515c</x:v>
      </x:c>
      <x:c r="J705" s="18" t="str">
        <x:v>No</x:v>
      </x:c>
    </x:row>
    <x:row r="706" ht="34" customHeight="1">
      <x:c r="A706" s="18" t="str">
        <x:v>brazil-vacation-pay-calculator</x:v>
      </x:c>
      <x:c r="B706" s="18" t="str">
        <x:v>calculadora de férias</x:v>
      </x:c>
      <x:c r="C706" s="19" t="n">
        <x:v>40500</x:v>
      </x:c>
      <x:c r="D706" s="18" t="str">
        <x:v>No</x:v>
      </x:c>
      <x:c r="E706" s="18" t="str">
        <x:v>2025-10 / 2026-09</x:v>
      </x:c>
      <x:c r="F706" s="18" t="str">
        <x:v>Global · sin filtro de idioma</x:v>
      </x:c>
      <x:c r="G706" s="18" t="str">
        <x:v>keywords_for_keywords</x:v>
      </x:c>
      <x:c r="H706" s="18" t="str">
        <x:v>discovery-multilingual-west.json</x:v>
      </x:c>
      <x:c r="I706" s="18" t="str">
        <x:v>10181858-1949-0368-0000-9de5915b6644</x:v>
      </x:c>
      <x:c r="J706" s="18" t="str">
        <x:v>No</x:v>
      </x:c>
    </x:row>
    <x:row r="707" ht="34" customHeight="1">
      <x:c r="A707" s="18" t="str">
        <x:v>brazil-vacation-pay-calculator</x:v>
      </x:c>
      <x:c r="B707" s="18" t="str">
        <x:v>calculo ferias</x:v>
      </x:c>
      <x:c r="C707" s="19" t="n">
        <x:v>90500</x:v>
      </x:c>
      <x:c r="D707" s="18" t="str">
        <x:v>Sí</x:v>
      </x:c>
      <x:c r="E707" s="18" t="str">
        <x:v>2025-10 / 2026-09</x:v>
      </x:c>
      <x:c r="F707" s="18" t="str">
        <x:v>Global · sin filtro de idioma</x:v>
      </x:c>
      <x:c r="G707" s="18" t="str">
        <x:v>search_volume</x:v>
      </x:c>
      <x:c r="H707" s="18" t="str">
        <x:v>global-candidates.json</x:v>
      </x:c>
      <x:c r="I707" s="18" t="str">
        <x:v>10181909-1949-0367-0000-d6f424f63198</x:v>
      </x:c>
      <x:c r="J707" s="18" t="str">
        <x:v>No</x:v>
      </x:c>
    </x:row>
    <x:row r="708" ht="34" customHeight="1">
      <x:c r="A708" s="18" t="str">
        <x:v>brazil-vacation-pay-calculator</x:v>
      </x:c>
      <x:c r="B708" s="18" t="str">
        <x:v>ferias calculadora</x:v>
      </x:c>
      <x:c r="C708" s="19" t="n">
        <x:v>260</x:v>
      </x:c>
      <x:c r="D708" s="18" t="str">
        <x:v>No</x:v>
      </x:c>
      <x:c r="E708" s="18" t="str">
        <x:v>2025-10 / 2026-09</x:v>
      </x:c>
      <x:c r="F708" s="18" t="str">
        <x:v>Global · sin filtro de idioma</x:v>
      </x:c>
      <x:c r="G708" s="18" t="str">
        <x:v>search_volume</x:v>
      </x:c>
      <x:c r="H708" s="18" t="str">
        <x:v>global-candidates.json</x:v>
      </x:c>
      <x:c r="I708" s="18" t="str">
        <x:v>10181909-1949-0367-0000-d6f424f63198</x:v>
      </x:c>
      <x:c r="J708" s="18" t="str">
        <x:v>No</x:v>
      </x:c>
    </x:row>
    <x:row r="709" ht="34" customHeight="1">
      <x:c r="A709" s="18" t="str">
        <x:v>brazil-thirteenth-salary</x:v>
      </x:c>
      <x:c r="B709" s="18" t="str">
        <x:v>calculadora décimo terceiro</x:v>
      </x:c>
      <x:c r="C709" s="19" t="n">
        <x:v>110000</x:v>
      </x:c>
      <x:c r="D709" s="18" t="str">
        <x:v>Sí</x:v>
      </x:c>
      <x:c r="E709" s="18" t="str">
        <x:v>2025-10 / 2026-09</x:v>
      </x:c>
      <x:c r="F709" s="18" t="str">
        <x:v>Global · sin filtro de idioma</x:v>
      </x:c>
      <x:c r="G709" s="18" t="str">
        <x:v>search_volume</x:v>
      </x:c>
      <x:c r="H709" s="18" t="str">
        <x:v>global-candidates.json</x:v>
      </x:c>
      <x:c r="I709" s="18" t="str">
        <x:v>10181909-1949-0367-0000-d6f424f63198</x:v>
      </x:c>
      <x:c r="J709" s="18" t="str">
        <x:v>No</x:v>
      </x:c>
    </x:row>
    <x:row r="710" ht="34" customHeight="1">
      <x:c r="A710" s="18" t="str">
        <x:v>brazil-thirteenth-salary</x:v>
      </x:c>
      <x:c r="B710" s="18" t="str">
        <x:v>calculo decimo terceiro</x:v>
      </x:c>
      <x:c r="C710" s="19" t="n">
        <x:v>110000</x:v>
      </x:c>
      <x:c r="D710" s="18" t="str">
        <x:v>No</x:v>
      </x:c>
      <x:c r="E710" s="18" t="str">
        <x:v>2025-10 / 2026-09</x:v>
      </x:c>
      <x:c r="F710" s="18" t="str">
        <x:v>Global · sin filtro de idioma</x:v>
      </x:c>
      <x:c r="G710" s="18" t="str">
        <x:v>search_volume</x:v>
      </x:c>
      <x:c r="H710" s="18" t="str">
        <x:v>global-candidates.json</x:v>
      </x:c>
      <x:c r="I710" s="18" t="str">
        <x:v>10181909-1949-0367-0000-d6f424f63198</x:v>
      </x:c>
      <x:c r="J710" s="18" t="str">
        <x:v>No</x:v>
      </x:c>
    </x:row>
    <x:row r="711" ht="34" customHeight="1">
      <x:c r="A711" s="18" t="str">
        <x:v>brazil-thirteenth-salary</x:v>
      </x:c>
      <x:c r="B711" s="18" t="str">
        <x:v>13 salario calculadora</x:v>
      </x:c>
      <x:c r="C711" s="19" t="n">
        <x:v>140</x:v>
      </x:c>
      <x:c r="D711" s="18" t="str">
        <x:v>No</x:v>
      </x:c>
      <x:c r="E711" s="18" t="str">
        <x:v>2025-10 / 2026-09</x:v>
      </x:c>
      <x:c r="F711" s="18" t="str">
        <x:v>Global · sin filtro de idioma</x:v>
      </x:c>
      <x:c r="G711" s="18" t="str">
        <x:v>search_volume</x:v>
      </x:c>
      <x:c r="H711" s="18" t="str">
        <x:v>global-candidates.json</x:v>
      </x:c>
      <x:c r="I711" s="18" t="str">
        <x:v>10181909-1949-0367-0000-d6f424f63198</x:v>
      </x:c>
      <x:c r="J711" s="18" t="str">
        <x:v>No</x:v>
      </x:c>
    </x:row>
    <x:row r="712" ht="34" customHeight="1">
      <x:c r="A712" s="18" t="str">
        <x:v>brazil-inss-contribution</x:v>
      </x:c>
      <x:c r="B712" s="18" t="str">
        <x:v>calculadora inss</x:v>
      </x:c>
      <x:c r="C712" s="19" t="n">
        <x:v>27100</x:v>
      </x:c>
      <x:c r="D712" s="18" t="str">
        <x:v>Sí</x:v>
      </x:c>
      <x:c r="E712" s="18" t="str">
        <x:v>2025-10 / 2026-09</x:v>
      </x:c>
      <x:c r="F712" s="18" t="str">
        <x:v>Global · sin filtro de idioma</x:v>
      </x:c>
      <x:c r="G712" s="18" t="str">
        <x:v>keywords_for_keywords</x:v>
      </x:c>
      <x:c r="H712" s="18" t="str">
        <x:v>discovery-multilingual-west.json</x:v>
      </x:c>
      <x:c r="I712" s="18" t="str">
        <x:v>10181858-1949-0368-0000-9de5915b6644</x:v>
      </x:c>
      <x:c r="J712" s="18" t="str">
        <x:v>No</x:v>
      </x:c>
    </x:row>
    <x:row r="713" ht="34" customHeight="1">
      <x:c r="A713" s="18" t="str">
        <x:v>brazil-inss-contribution</x:v>
      </x:c>
      <x:c r="B713" s="18" t="str">
        <x:v>calculo inss</x:v>
      </x:c>
      <x:c r="C713" s="19" t="n">
        <x:v>27100</x:v>
      </x:c>
      <x:c r="D713" s="18" t="str">
        <x:v>No</x:v>
      </x:c>
      <x:c r="E713" s="18" t="str">
        <x:v>2025-10 / 2026-09</x:v>
      </x:c>
      <x:c r="F713" s="18" t="str">
        <x:v>Global · sin filtro de idioma</x:v>
      </x:c>
      <x:c r="G713" s="18" t="str">
        <x:v>search_volume</x:v>
      </x:c>
      <x:c r="H713" s="18" t="str">
        <x:v>global-candidates.json</x:v>
      </x:c>
      <x:c r="I713" s="18" t="str">
        <x:v>10181909-1949-0367-0000-d6f424f63198</x:v>
      </x:c>
      <x:c r="J713" s="18" t="str">
        <x:v>No</x:v>
      </x:c>
    </x:row>
    <x:row r="714" ht="34" customHeight="1">
      <x:c r="A714" s="18" t="str">
        <x:v>brazil-inss-contribution</x:v>
      </x:c>
      <x:c r="B714" s="18" t="str">
        <x:v>inss calculator</x:v>
      </x:c>
      <x:c r="C714" s="19" t="str">
        <x:v>n.a.</x:v>
      </x:c>
      <x:c r="D714" s="18" t="str">
        <x:v>No</x:v>
      </x:c>
      <x:c r="E714" s="18" t="str">
        <x:v>n.a.</x:v>
      </x:c>
      <x:c r="F714" s="18" t="str">
        <x:v>Global · sin filtro de idioma</x:v>
      </x:c>
      <x:c r="G714" s="18" t="str">
        <x:v>search_volume</x:v>
      </x:c>
      <x:c r="H714" s="18" t="str">
        <x:v>global-candidates.json</x:v>
      </x:c>
      <x:c r="I714" s="18" t="str">
        <x:v>10181909-1949-0367-0000-d6f424f63198</x:v>
      </x:c>
      <x:c r="J714" s="18" t="str">
        <x:v>No</x:v>
      </x:c>
    </x:row>
    <x:row r="715" ht="34" customHeight="1">
      <x:c r="A715" s="18" t="str">
        <x:v>brazil-fgts-calculator</x:v>
      </x:c>
      <x:c r="B715" s="18" t="str">
        <x:v>calculadora fgts</x:v>
      </x:c>
      <x:c r="C715" s="19" t="n">
        <x:v>22200</x:v>
      </x:c>
      <x:c r="D715" s="18" t="str">
        <x:v>Sí</x:v>
      </x:c>
      <x:c r="E715" s="18" t="str">
        <x:v>2025-10 / 2026-09</x:v>
      </x:c>
      <x:c r="F715" s="18" t="str">
        <x:v>Global · sin filtro de idioma</x:v>
      </x:c>
      <x:c r="G715" s="18" t="str">
        <x:v>search_volume</x:v>
      </x:c>
      <x:c r="H715" s="18" t="str">
        <x:v>global-candidates.json</x:v>
      </x:c>
      <x:c r="I715" s="18" t="str">
        <x:v>10181909-1949-0367-0000-d6f424f63198</x:v>
      </x:c>
      <x:c r="J715" s="18" t="str">
        <x:v>No</x:v>
      </x:c>
    </x:row>
    <x:row r="716" ht="34" customHeight="1">
      <x:c r="A716" s="18" t="str">
        <x:v>brazil-fgts-calculator</x:v>
      </x:c>
      <x:c r="B716" s="18" t="str">
        <x:v>calculo fgts</x:v>
      </x:c>
      <x:c r="C716" s="19" t="n">
        <x:v>22200</x:v>
      </x:c>
      <x:c r="D716" s="18" t="str">
        <x:v>No</x:v>
      </x:c>
      <x:c r="E716" s="18" t="str">
        <x:v>2025-10 / 2026-09</x:v>
      </x:c>
      <x:c r="F716" s="18" t="str">
        <x:v>Global · sin filtro de idioma</x:v>
      </x:c>
      <x:c r="G716" s="18" t="str">
        <x:v>search_volume</x:v>
      </x:c>
      <x:c r="H716" s="18" t="str">
        <x:v>global-candidates.json</x:v>
      </x:c>
      <x:c r="I716" s="18" t="str">
        <x:v>10181909-1949-0367-0000-d6f424f63198</x:v>
      </x:c>
      <x:c r="J716" s="18" t="str">
        <x:v>No</x:v>
      </x:c>
    </x:row>
    <x:row r="717" ht="34" customHeight="1">
      <x:c r="A717" s="18" t="str">
        <x:v>brazil-fgts-calculator</x:v>
      </x:c>
      <x:c r="B717" s="18" t="str">
        <x:v>saque aniversario calculadora</x:v>
      </x:c>
      <x:c r="C717" s="19" t="n">
        <x:v>20</x:v>
      </x:c>
      <x:c r="D717" s="18" t="str">
        <x:v>No</x:v>
      </x:c>
      <x:c r="E717" s="18" t="str">
        <x:v>2025-10 / 2026-09</x:v>
      </x:c>
      <x:c r="F717" s="18" t="str">
        <x:v>Global · sin filtro de idioma</x:v>
      </x:c>
      <x:c r="G717" s="18" t="str">
        <x:v>search_volume</x:v>
      </x:c>
      <x:c r="H717" s="18" t="str">
        <x:v>global-candidates.json</x:v>
      </x:c>
      <x:c r="I717" s="18" t="str">
        <x:v>10181909-1949-0367-0000-d6f424f63198</x:v>
      </x:c>
      <x:c r="J717" s="18" t="str">
        <x:v>No</x:v>
      </x:c>
    </x:row>
    <x:row r="718" ht="34" customHeight="1">
      <x:c r="A718" s="18" t="str">
        <x:v>brazil-unemployment-benefit</x:v>
      </x:c>
      <x:c r="B718" s="18" t="str">
        <x:v>calculadora seguro desemprego</x:v>
      </x:c>
      <x:c r="C718" s="19" t="n">
        <x:v>27100</x:v>
      </x:c>
      <x:c r="D718" s="18" t="str">
        <x:v>Sí</x:v>
      </x:c>
      <x:c r="E718" s="18" t="str">
        <x:v>2025-10 / 2026-09</x:v>
      </x:c>
      <x:c r="F718" s="18" t="str">
        <x:v>Global · sin filtro de idioma</x:v>
      </x:c>
      <x:c r="G718" s="18" t="str">
        <x:v>search_volume</x:v>
      </x:c>
      <x:c r="H718" s="18" t="str">
        <x:v>global-candidates.json</x:v>
      </x:c>
      <x:c r="I718" s="18" t="str">
        <x:v>10181909-1949-0367-0000-d6f424f63198</x:v>
      </x:c>
      <x:c r="J718" s="18" t="str">
        <x:v>No</x:v>
      </x:c>
    </x:row>
    <x:row r="719" ht="34" customHeight="1">
      <x:c r="A719" s="18" t="str">
        <x:v>brazil-unemployment-benefit</x:v>
      </x:c>
      <x:c r="B719" s="18" t="str">
        <x:v>calculo seguro desemprego</x:v>
      </x:c>
      <x:c r="C719" s="19" t="n">
        <x:v>27100</x:v>
      </x:c>
      <x:c r="D719" s="18" t="str">
        <x:v>No</x:v>
      </x:c>
      <x:c r="E719" s="18" t="str">
        <x:v>2025-10 / 2026-09</x:v>
      </x:c>
      <x:c r="F719" s="18" t="str">
        <x:v>Global · sin filtro de idioma</x:v>
      </x:c>
      <x:c r="G719" s="18" t="str">
        <x:v>search_volume</x:v>
      </x:c>
      <x:c r="H719" s="18" t="str">
        <x:v>global-candidates.json</x:v>
      </x:c>
      <x:c r="I719" s="18" t="str">
        <x:v>10181909-1949-0367-0000-d6f424f63198</x:v>
      </x:c>
      <x:c r="J719" s="18" t="str">
        <x:v>No</x:v>
      </x:c>
    </x:row>
    <x:row r="720" ht="34" customHeight="1">
      <x:c r="A720" s="18" t="str">
        <x:v>brazil-unemployment-benefit</x:v>
      </x:c>
      <x:c r="B720" s="18" t="str">
        <x:v>seguro desemprego calculadora</x:v>
      </x:c>
      <x:c r="C720" s="19" t="n">
        <x:v>210</x:v>
      </x:c>
      <x:c r="D720" s="18" t="str">
        <x:v>No</x:v>
      </x:c>
      <x:c r="E720" s="18" t="str">
        <x:v>2025-10 / 2026-09</x:v>
      </x:c>
      <x:c r="F720" s="18" t="str">
        <x:v>Global · sin filtro de idioma</x:v>
      </x:c>
      <x:c r="G720" s="18" t="str">
        <x:v>search_volume</x:v>
      </x:c>
      <x:c r="H720" s="18" t="str">
        <x:v>global-candidates.json</x:v>
      </x:c>
      <x:c r="I720" s="18" t="str">
        <x:v>10181909-1949-0367-0000-d6f424f63198</x:v>
      </x:c>
      <x:c r="J720" s="18" t="str">
        <x:v>No</x:v>
      </x:c>
    </x:row>
    <x:row r="721" ht="34" customHeight="1">
      <x:c r="A721" s="18" t="str">
        <x:v>portugal-net-salary</x:v>
      </x:c>
      <x:c r="B721" s="18" t="str">
        <x:v>simulador salario liquido</x:v>
      </x:c>
      <x:c r="C721" s="19" t="n">
        <x:v>33100</x:v>
      </x:c>
      <x:c r="D721" s="18" t="str">
        <x:v>No</x:v>
      </x:c>
      <x:c r="E721" s="18" t="str">
        <x:v>2025-10 / 2026-09</x:v>
      </x:c>
      <x:c r="F721" s="18" t="str">
        <x:v>Global · sin filtro de idioma</x:v>
      </x:c>
      <x:c r="G721" s="18" t="str">
        <x:v>search_volume</x:v>
      </x:c>
      <x:c r="H721" s="18" t="str">
        <x:v>global-candidates.json</x:v>
      </x:c>
      <x:c r="I721" s="18" t="str">
        <x:v>10181909-1949-0367-0000-d6f424f63198</x:v>
      </x:c>
      <x:c r="J721" s="18" t="str">
        <x:v>No</x:v>
      </x:c>
    </x:row>
    <x:row r="722" ht="34" customHeight="1">
      <x:c r="A722" s="18" t="str">
        <x:v>portugal-net-salary</x:v>
      </x:c>
      <x:c r="B722" s="18" t="str">
        <x:v>calculadora salario liquido portugal</x:v>
      </x:c>
      <x:c r="C722" s="19" t="n">
        <x:v>720</x:v>
      </x:c>
      <x:c r="D722" s="18" t="str">
        <x:v>No</x:v>
      </x:c>
      <x:c r="E722" s="18" t="str">
        <x:v>2025-10 / 2026-09</x:v>
      </x:c>
      <x:c r="F722" s="18" t="str">
        <x:v>Global · sin filtro de idioma</x:v>
      </x:c>
      <x:c r="G722" s="18" t="str">
        <x:v>search_volume</x:v>
      </x:c>
      <x:c r="H722" s="18" t="str">
        <x:v>global-candidates.json</x:v>
      </x:c>
      <x:c r="I722" s="18" t="str">
        <x:v>10181909-1949-0367-0000-d6f424f63198</x:v>
      </x:c>
      <x:c r="J722" s="18" t="str">
        <x:v>No</x:v>
      </x:c>
    </x:row>
    <x:row r="723" ht="34" customHeight="1">
      <x:c r="A723" s="18" t="str">
        <x:v>portugal-net-salary</x:v>
      </x:c>
      <x:c r="B723" s="18" t="str">
        <x:v>salario liquido</x:v>
      </x:c>
      <x:c r="C723" s="19" t="n">
        <x:v>74000</x:v>
      </x:c>
      <x:c r="D723" s="18" t="str">
        <x:v>Sí</x:v>
      </x:c>
      <x:c r="E723" s="18" t="str">
        <x:v>2025-10 / 2026-09</x:v>
      </x:c>
      <x:c r="F723" s="18" t="str">
        <x:v>Global · sin filtro de idioma</x:v>
      </x:c>
      <x:c r="G723" s="18" t="str">
        <x:v>search_volume</x:v>
      </x:c>
      <x:c r="H723" s="18" t="str">
        <x:v>global-candidates.json</x:v>
      </x:c>
      <x:c r="I723" s="18" t="str">
        <x:v>10181909-1949-0367-0000-d6f424f63198</x:v>
      </x:c>
      <x:c r="J723" s="18" t="str">
        <x:v>No</x:v>
      </x:c>
    </x:row>
    <x:row r="724" ht="34" customHeight="1">
      <x:c r="A724" s="18" t="str">
        <x:v>france-income-tax</x:v>
      </x:c>
      <x:c r="B724" s="18" t="str">
        <x:v>simulateur impot revenu</x:v>
      </x:c>
      <x:c r="C724" s="19" t="n">
        <x:v>40500</x:v>
      </x:c>
      <x:c r="D724" s="18" t="str">
        <x:v>No</x:v>
      </x:c>
      <x:c r="E724" s="18" t="str">
        <x:v>2025-10 / 2026-09</x:v>
      </x:c>
      <x:c r="F724" s="18" t="str">
        <x:v>Global · sin filtro de idioma</x:v>
      </x:c>
      <x:c r="G724" s="18" t="str">
        <x:v>search_volume</x:v>
      </x:c>
      <x:c r="H724" s="18" t="str">
        <x:v>global-candidates.json</x:v>
      </x:c>
      <x:c r="I724" s="18" t="str">
        <x:v>10181909-1949-0367-0000-d6f424f63198</x:v>
      </x:c>
      <x:c r="J724" s="18" t="str">
        <x:v>No</x:v>
      </x:c>
    </x:row>
    <x:row r="725" ht="34" customHeight="1">
      <x:c r="A725" s="18" t="str">
        <x:v>france-income-tax</x:v>
      </x:c>
      <x:c r="B725" s="18" t="str">
        <x:v>calcul impot revenu</x:v>
      </x:c>
      <x:c r="C725" s="19" t="n">
        <x:v>12100</x:v>
      </x:c>
      <x:c r="D725" s="18" t="str">
        <x:v>No</x:v>
      </x:c>
      <x:c r="E725" s="18" t="str">
        <x:v>2025-10 / 2026-09</x:v>
      </x:c>
      <x:c r="F725" s="18" t="str">
        <x:v>Global · sin filtro de idioma</x:v>
      </x:c>
      <x:c r="G725" s="18" t="str">
        <x:v>search_volume</x:v>
      </x:c>
      <x:c r="H725" s="18" t="str">
        <x:v>global-candidates.json</x:v>
      </x:c>
      <x:c r="I725" s="18" t="str">
        <x:v>10181909-1949-0367-0000-d6f424f63198</x:v>
      </x:c>
      <x:c r="J725" s="18" t="str">
        <x:v>No</x:v>
      </x:c>
    </x:row>
    <x:row r="726" ht="34" customHeight="1">
      <x:c r="A726" s="18" t="str">
        <x:v>france-income-tax</x:v>
      </x:c>
      <x:c r="B726" s="18" t="str">
        <x:v>simulateur impots</x:v>
      </x:c>
      <x:c r="C726" s="19" t="n">
        <x:v>74000</x:v>
      </x:c>
      <x:c r="D726" s="18" t="str">
        <x:v>Sí</x:v>
      </x:c>
      <x:c r="E726" s="18" t="str">
        <x:v>2025-10 / 2026-09</x:v>
      </x:c>
      <x:c r="F726" s="18" t="str">
        <x:v>Global · sin filtro de idioma</x:v>
      </x:c>
      <x:c r="G726" s="18" t="str">
        <x:v>search_volume</x:v>
      </x:c>
      <x:c r="H726" s="18" t="str">
        <x:v>global-candidates.json</x:v>
      </x:c>
      <x:c r="I726" s="18" t="str">
        <x:v>10181909-1949-0367-0000-d6f424f63198</x:v>
      </x:c>
      <x:c r="J726" s="18" t="str">
        <x:v>No</x:v>
      </x:c>
    </x:row>
    <x:row r="727" ht="34" customHeight="1">
      <x:c r="A727" s="18" t="str">
        <x:v>germany-net-salary</x:v>
      </x:c>
      <x:c r="B727" s="18" t="str">
        <x:v>brutto netto rechner</x:v>
      </x:c>
      <x:c r="C727" s="19" t="n">
        <x:v>2240000</x:v>
      </x:c>
      <x:c r="D727" s="18" t="str">
        <x:v>Sí</x:v>
      </x:c>
      <x:c r="E727" s="18" t="str">
        <x:v>2025-10 / 2026-09</x:v>
      </x:c>
      <x:c r="F727" s="18" t="str">
        <x:v>Global · sin filtro de idioma</x:v>
      </x:c>
      <x:c r="G727" s="18" t="str">
        <x:v>search_volume</x:v>
      </x:c>
      <x:c r="H727" s="18" t="str">
        <x:v>global-candidates.json</x:v>
      </x:c>
      <x:c r="I727" s="18" t="str">
        <x:v>10181909-1949-0367-0000-d6f424f63198</x:v>
      </x:c>
      <x:c r="J727" s="18" t="str">
        <x:v>No</x:v>
      </x:c>
    </x:row>
    <x:row r="728" ht="34" customHeight="1">
      <x:c r="A728" s="18" t="str">
        <x:v>germany-net-salary</x:v>
      </x:c>
      <x:c r="B728" s="18" t="str">
        <x:v>gehaltsrechner</x:v>
      </x:c>
      <x:c r="C728" s="19" t="n">
        <x:v>165000</x:v>
      </x:c>
      <x:c r="D728" s="18" t="str">
        <x:v>No</x:v>
      </x:c>
      <x:c r="E728" s="18" t="str">
        <x:v>2025-10 / 2026-09</x:v>
      </x:c>
      <x:c r="F728" s="18" t="str">
        <x:v>Global · sin filtro de idioma</x:v>
      </x:c>
      <x:c r="G728" s="18" t="str">
        <x:v>search_volume</x:v>
      </x:c>
      <x:c r="H728" s="18" t="str">
        <x:v>global-candidates.json</x:v>
      </x:c>
      <x:c r="I728" s="18" t="str">
        <x:v>10181909-1949-0367-0000-d6f424f63198</x:v>
      </x:c>
      <x:c r="J728" s="18" t="str">
        <x:v>No</x:v>
      </x:c>
    </x:row>
    <x:row r="729" ht="34" customHeight="1">
      <x:c r="A729" s="18" t="str">
        <x:v>germany-net-salary</x:v>
      </x:c>
      <x:c r="B729" s="18" t="str">
        <x:v>nettolohn berechnen</x:v>
      </x:c>
      <x:c r="C729" s="19" t="n">
        <x:v>4400</x:v>
      </x:c>
      <x:c r="D729" s="18" t="str">
        <x:v>No</x:v>
      </x:c>
      <x:c r="E729" s="18" t="str">
        <x:v>2025-10 / 2026-09</x:v>
      </x:c>
      <x:c r="F729" s="18" t="str">
        <x:v>Global · sin filtro de idioma</x:v>
      </x:c>
      <x:c r="G729" s="18" t="str">
        <x:v>search_volume</x:v>
      </x:c>
      <x:c r="H729" s="18" t="str">
        <x:v>global-candidates.json</x:v>
      </x:c>
      <x:c r="I729" s="18" t="str">
        <x:v>10181909-1949-0367-0000-d6f424f63198</x:v>
      </x:c>
      <x:c r="J729" s="18" t="str">
        <x:v>No</x:v>
      </x:c>
    </x:row>
    <x:row r="730" ht="34" customHeight="1">
      <x:c r="A730" s="18" t="str">
        <x:v>uk-pay-calculator</x:v>
      </x:c>
      <x:c r="B730" s="18" t="str">
        <x:v>salary calculator uk</x:v>
      </x:c>
      <x:c r="C730" s="19" t="n">
        <x:v>201000</x:v>
      </x:c>
      <x:c r="D730" s="18" t="str">
        <x:v>Sí</x:v>
      </x:c>
      <x:c r="E730" s="18" t="str">
        <x:v>2025-10 / 2026-09</x:v>
      </x:c>
      <x:c r="F730" s="18" t="str">
        <x:v>Global · sin filtro de idioma</x:v>
      </x:c>
      <x:c r="G730" s="18" t="str">
        <x:v>search_volume</x:v>
      </x:c>
      <x:c r="H730" s="18" t="str">
        <x:v>global-candidates.json</x:v>
      </x:c>
      <x:c r="I730" s="18" t="str">
        <x:v>10181909-1949-0367-0000-d6f424f63198</x:v>
      </x:c>
      <x:c r="J730" s="18" t="str">
        <x:v>No</x:v>
      </x:c>
    </x:row>
    <x:row r="731" ht="34" customHeight="1">
      <x:c r="A731" s="18" t="str">
        <x:v>uk-pay-calculator</x:v>
      </x:c>
      <x:c r="B731" s="18" t="str">
        <x:v>take home pay uk</x:v>
      </x:c>
      <x:c r="C731" s="19" t="n">
        <x:v>4400</x:v>
      </x:c>
      <x:c r="D731" s="18" t="str">
        <x:v>No</x:v>
      </x:c>
      <x:c r="E731" s="18" t="str">
        <x:v>2025-10 / 2026-09</x:v>
      </x:c>
      <x:c r="F731" s="18" t="str">
        <x:v>Global · sin filtro de idioma</x:v>
      </x:c>
      <x:c r="G731" s="18" t="str">
        <x:v>search_volume</x:v>
      </x:c>
      <x:c r="H731" s="18" t="str">
        <x:v>global-candidates.json</x:v>
      </x:c>
      <x:c r="I731" s="18" t="str">
        <x:v>10181909-1949-0367-0000-d6f424f63198</x:v>
      </x:c>
      <x:c r="J731" s="18" t="str">
        <x:v>No</x:v>
      </x:c>
    </x:row>
    <x:row r="732" ht="34" customHeight="1">
      <x:c r="A732" s="18" t="str">
        <x:v>uk-pay-calculator</x:v>
      </x:c>
      <x:c r="B732" s="18" t="str">
        <x:v>income tax calculator uk</x:v>
      </x:c>
      <x:c r="C732" s="19" t="n">
        <x:v>33100</x:v>
      </x:c>
      <x:c r="D732" s="18" t="str">
        <x:v>No</x:v>
      </x:c>
      <x:c r="E732" s="18" t="str">
        <x:v>2025-10 / 2026-09</x:v>
      </x:c>
      <x:c r="F732" s="18" t="str">
        <x:v>Global · sin filtro de idioma</x:v>
      </x:c>
      <x:c r="G732" s="18" t="str">
        <x:v>search_volume</x:v>
      </x:c>
      <x:c r="H732" s="18" t="str">
        <x:v>global-candidates.json</x:v>
      </x:c>
      <x:c r="I732" s="18" t="str">
        <x:v>10181909-1949-0367-0000-d6f424f63198</x:v>
      </x:c>
      <x:c r="J732" s="18" t="str">
        <x:v>No</x:v>
      </x:c>
    </x:row>
    <x:row r="733" ht="34" customHeight="1">
      <x:c r="A733" s="18" t="str">
        <x:v>uk-stamp-duty</x:v>
      </x:c>
      <x:c r="B733" s="18" t="str">
        <x:v>stamp duty calculator</x:v>
      </x:c>
      <x:c r="C733" s="19" t="n">
        <x:v>301000</x:v>
      </x:c>
      <x:c r="D733" s="18" t="str">
        <x:v>Sí</x:v>
      </x:c>
      <x:c r="E733" s="18" t="str">
        <x:v>2025-10 / 2026-09</x:v>
      </x:c>
      <x:c r="F733" s="18" t="str">
        <x:v>Global · sin filtro de idioma</x:v>
      </x:c>
      <x:c r="G733" s="18" t="str">
        <x:v>search_volume</x:v>
      </x:c>
      <x:c r="H733" s="18" t="str">
        <x:v>global-candidates.json</x:v>
      </x:c>
      <x:c r="I733" s="18" t="str">
        <x:v>10181909-1949-0367-0000-d6f424f63198</x:v>
      </x:c>
      <x:c r="J733" s="18" t="str">
        <x:v>No</x:v>
      </x:c>
    </x:row>
    <x:row r="734" ht="34" customHeight="1">
      <x:c r="A734" s="18" t="str">
        <x:v>uk-stamp-duty</x:v>
      </x:c>
      <x:c r="B734" s="18" t="str">
        <x:v>sdlt calculator</x:v>
      </x:c>
      <x:c r="C734" s="19" t="n">
        <x:v>40500</x:v>
      </x:c>
      <x:c r="D734" s="18" t="str">
        <x:v>No</x:v>
      </x:c>
      <x:c r="E734" s="18" t="str">
        <x:v>2025-10 / 2026-09</x:v>
      </x:c>
      <x:c r="F734" s="18" t="str">
        <x:v>Global · sin filtro de idioma</x:v>
      </x:c>
      <x:c r="G734" s="18" t="str">
        <x:v>search_volume</x:v>
      </x:c>
      <x:c r="H734" s="18" t="str">
        <x:v>global-candidates.json</x:v>
      </x:c>
      <x:c r="I734" s="18" t="str">
        <x:v>10181909-1949-0367-0000-d6f424f63198</x:v>
      </x:c>
      <x:c r="J734" s="18" t="str">
        <x:v>No</x:v>
      </x:c>
    </x:row>
    <x:row r="735" ht="34" customHeight="1">
      <x:c r="A735" s="18" t="str">
        <x:v>uk-stamp-duty</x:v>
      </x:c>
      <x:c r="B735" s="18" t="str">
        <x:v>stamp duty</x:v>
      </x:c>
      <x:c r="C735" s="19" t="n">
        <x:v>135000</x:v>
      </x:c>
      <x:c r="D735" s="18" t="str">
        <x:v>No</x:v>
      </x:c>
      <x:c r="E735" s="18" t="str">
        <x:v>2025-10 / 2026-09</x:v>
      </x:c>
      <x:c r="F735" s="18" t="str">
        <x:v>Global · sin filtro de idioma</x:v>
      </x:c>
      <x:c r="G735" s="18" t="str">
        <x:v>search_volume</x:v>
      </x:c>
      <x:c r="H735" s="18" t="str">
        <x:v>global-candidates.json</x:v>
      </x:c>
      <x:c r="I735" s="18" t="str">
        <x:v>10181909-1949-0367-0000-d6f424f63198</x:v>
      </x:c>
      <x:c r="J735" s="18" t="str">
        <x:v>No</x:v>
      </x:c>
    </x:row>
    <x:row r="736" ht="34" customHeight="1">
      <x:c r="A736" s="18" t="str">
        <x:v>india-ppf-calculator</x:v>
      </x:c>
      <x:c r="B736" s="18" t="str">
        <x:v>ppf calculator</x:v>
      </x:c>
      <x:c r="C736" s="19" t="n">
        <x:v>246000</x:v>
      </x:c>
      <x:c r="D736" s="18" t="str">
        <x:v>Sí</x:v>
      </x:c>
      <x:c r="E736" s="18" t="str">
        <x:v>2025-10 / 2026-09</x:v>
      </x:c>
      <x:c r="F736" s="18" t="str">
        <x:v>Global · sin filtro de idioma</x:v>
      </x:c>
      <x:c r="G736" s="18" t="str">
        <x:v>search_volume</x:v>
      </x:c>
      <x:c r="H736" s="18" t="str">
        <x:v>global-candidates.json</x:v>
      </x:c>
      <x:c r="I736" s="18" t="str">
        <x:v>10181909-1949-0367-0000-d6f424f63198</x:v>
      </x:c>
      <x:c r="J736" s="18" t="str">
        <x:v>No</x:v>
      </x:c>
    </x:row>
    <x:row r="737" ht="34" customHeight="1">
      <x:c r="A737" s="18" t="str">
        <x:v>india-ppf-calculator</x:v>
      </x:c>
      <x:c r="B737" s="18" t="str">
        <x:v>public provident fund calculator</x:v>
      </x:c>
      <x:c r="C737" s="19" t="n">
        <x:v>246000</x:v>
      </x:c>
      <x:c r="D737" s="18" t="str">
        <x:v>No</x:v>
      </x:c>
      <x:c r="E737" s="18" t="str">
        <x:v>2025-10 / 2026-09</x:v>
      </x:c>
      <x:c r="F737" s="18" t="str">
        <x:v>Global · sin filtro de idioma</x:v>
      </x:c>
      <x:c r="G737" s="18" t="str">
        <x:v>search_volume</x:v>
      </x:c>
      <x:c r="H737" s="18" t="str">
        <x:v>global-candidates.json</x:v>
      </x:c>
      <x:c r="I737" s="18" t="str">
        <x:v>10181909-1949-0367-0000-d6f424f63198</x:v>
      </x:c>
      <x:c r="J737" s="18" t="str">
        <x:v>No</x:v>
      </x:c>
    </x:row>
    <x:row r="738" ht="34" customHeight="1">
      <x:c r="A738" s="18" t="str">
        <x:v>india-ppf-calculator</x:v>
      </x:c>
      <x:c r="B738" s="18" t="str">
        <x:v>ppf interest calculator</x:v>
      </x:c>
      <x:c r="C738" s="19" t="n">
        <x:v>3600</x:v>
      </x:c>
      <x:c r="D738" s="18" t="str">
        <x:v>No</x:v>
      </x:c>
      <x:c r="E738" s="18" t="str">
        <x:v>2025-10 / 2026-09</x:v>
      </x:c>
      <x:c r="F738" s="18" t="str">
        <x:v>Global · sin filtro de idioma</x:v>
      </x:c>
      <x:c r="G738" s="18" t="str">
        <x:v>search_volume</x:v>
      </x:c>
      <x:c r="H738" s="18" t="str">
        <x:v>global-candidates.json</x:v>
      </x:c>
      <x:c r="I738" s="18" t="str">
        <x:v>10181909-1949-0367-0000-d6f424f63198</x:v>
      </x:c>
      <x:c r="J738" s="18" t="str">
        <x:v>No</x:v>
      </x:c>
    </x:row>
    <x:row r="739" ht="34" customHeight="1">
      <x:c r="A739" s="18" t="str">
        <x:v>india-epf-calculator</x:v>
      </x:c>
      <x:c r="B739" s="18" t="str">
        <x:v>epf calculator</x:v>
      </x:c>
      <x:c r="C739" s="19" t="n">
        <x:v>49500</x:v>
      </x:c>
      <x:c r="D739" s="18" t="str">
        <x:v>Sí</x:v>
      </x:c>
      <x:c r="E739" s="18" t="str">
        <x:v>2025-10 / 2026-09</x:v>
      </x:c>
      <x:c r="F739" s="18" t="str">
        <x:v>Global · sin filtro de idioma</x:v>
      </x:c>
      <x:c r="G739" s="18" t="str">
        <x:v>search_volume</x:v>
      </x:c>
      <x:c r="H739" s="18" t="str">
        <x:v>global-candidates.json</x:v>
      </x:c>
      <x:c r="I739" s="18" t="str">
        <x:v>10181909-1949-0367-0000-d6f424f63198</x:v>
      </x:c>
      <x:c r="J739" s="18" t="str">
        <x:v>No</x:v>
      </x:c>
    </x:row>
    <x:row r="740" ht="34" customHeight="1">
      <x:c r="A740" s="18" t="str">
        <x:v>india-epf-calculator</x:v>
      </x:c>
      <x:c r="B740" s="18" t="str">
        <x:v>pf calculator</x:v>
      </x:c>
      <x:c r="C740" s="19" t="n">
        <x:v>33100</x:v>
      </x:c>
      <x:c r="D740" s="18" t="str">
        <x:v>No</x:v>
      </x:c>
      <x:c r="E740" s="18" t="str">
        <x:v>2025-10 / 2026-09</x:v>
      </x:c>
      <x:c r="F740" s="18" t="str">
        <x:v>Global · sin filtro de idioma</x:v>
      </x:c>
      <x:c r="G740" s="18" t="str">
        <x:v>search_volume</x:v>
      </x:c>
      <x:c r="H740" s="18" t="str">
        <x:v>global-candidates.json</x:v>
      </x:c>
      <x:c r="I740" s="18" t="str">
        <x:v>10181909-1949-0367-0000-d6f424f63198</x:v>
      </x:c>
      <x:c r="J740" s="18" t="str">
        <x:v>No</x:v>
      </x:c>
    </x:row>
    <x:row r="741" ht="34" customHeight="1">
      <x:c r="A741" s="18" t="str">
        <x:v>india-epf-calculator</x:v>
      </x:c>
      <x:c r="B741" s="18" t="str">
        <x:v>provident fund calculator</x:v>
      </x:c>
      <x:c r="C741" s="19" t="n">
        <x:v>33100</x:v>
      </x:c>
      <x:c r="D741" s="18" t="str">
        <x:v>No</x:v>
      </x:c>
      <x:c r="E741" s="18" t="str">
        <x:v>2025-10 / 2026-09</x:v>
      </x:c>
      <x:c r="F741" s="18" t="str">
        <x:v>Global · sin filtro de idioma</x:v>
      </x:c>
      <x:c r="G741" s="18" t="str">
        <x:v>search_volume</x:v>
      </x:c>
      <x:c r="H741" s="18" t="str">
        <x:v>global-candidates.json</x:v>
      </x:c>
      <x:c r="I741" s="18" t="str">
        <x:v>10181909-1949-0367-0000-d6f424f63198</x:v>
      </x:c>
      <x:c r="J741" s="18" t="str">
        <x:v>No</x:v>
      </x:c>
    </x:row>
    <x:row r="742" ht="34" customHeight="1">
      <x:c r="A742" s="18" t="str">
        <x:v>india-gratuity-calculator</x:v>
      </x:c>
      <x:c r="B742" s="18" t="str">
        <x:v>gratuity calculator</x:v>
      </x:c>
      <x:c r="C742" s="19" t="n">
        <x:v>368000</x:v>
      </x:c>
      <x:c r="D742" s="18" t="str">
        <x:v>Sí</x:v>
      </x:c>
      <x:c r="E742" s="18" t="str">
        <x:v>2025-10 / 2026-09</x:v>
      </x:c>
      <x:c r="F742" s="18" t="str">
        <x:v>Global · sin filtro de idioma</x:v>
      </x:c>
      <x:c r="G742" s="18" t="str">
        <x:v>search_volume</x:v>
      </x:c>
      <x:c r="H742" s="18" t="str">
        <x:v>global-candidates.json</x:v>
      </x:c>
      <x:c r="I742" s="18" t="str">
        <x:v>10181909-1949-0367-0000-d6f424f63198</x:v>
      </x:c>
      <x:c r="J742" s="18" t="str">
        <x:v>No</x:v>
      </x:c>
    </x:row>
    <x:row r="743" ht="34" customHeight="1">
      <x:c r="A743" s="18" t="str">
        <x:v>india-gratuity-calculator</x:v>
      </x:c>
      <x:c r="B743" s="18" t="str">
        <x:v>gratuity calculation</x:v>
      </x:c>
      <x:c r="C743" s="19" t="n">
        <x:v>368000</x:v>
      </x:c>
      <x:c r="D743" s="18" t="str">
        <x:v>No</x:v>
      </x:c>
      <x:c r="E743" s="18" t="str">
        <x:v>2025-10 / 2026-09</x:v>
      </x:c>
      <x:c r="F743" s="18" t="str">
        <x:v>Global · sin filtro de idioma</x:v>
      </x:c>
      <x:c r="G743" s="18" t="str">
        <x:v>search_volume</x:v>
      </x:c>
      <x:c r="H743" s="18" t="str">
        <x:v>global-candidates.json</x:v>
      </x:c>
      <x:c r="I743" s="18" t="str">
        <x:v>10181909-1949-0367-0000-d6f424f63198</x:v>
      </x:c>
      <x:c r="J743" s="18" t="str">
        <x:v>No</x:v>
      </x:c>
    </x:row>
    <x:row r="744" ht="34" customHeight="1">
      <x:c r="A744" s="18" t="str">
        <x:v>india-gratuity-calculator</x:v>
      </x:c>
      <x:c r="B744" s="18" t="str">
        <x:v>gratuity calculator india</x:v>
      </x:c>
      <x:c r="C744" s="19" t="n">
        <x:v>18100</x:v>
      </x:c>
      <x:c r="D744" s="18" t="str">
        <x:v>No</x:v>
      </x:c>
      <x:c r="E744" s="18" t="str">
        <x:v>2025-10 / 2026-09</x:v>
      </x:c>
      <x:c r="F744" s="18" t="str">
        <x:v>Global · sin filtro de idioma</x:v>
      </x:c>
      <x:c r="G744" s="18" t="str">
        <x:v>search_volume</x:v>
      </x:c>
      <x:c r="H744" s="18" t="str">
        <x:v>global-candidates.json</x:v>
      </x:c>
      <x:c r="I744" s="18" t="str">
        <x:v>10181909-1949-0367-0000-d6f424f63198</x:v>
      </x:c>
      <x:c r="J744" s="18" t="str">
        <x:v>No</x:v>
      </x:c>
    </x:row>
    <x:row r="745" ht="34" customHeight="1">
      <x:c r="A745" s="18" t="str">
        <x:v>india-hra-exemption</x:v>
      </x:c>
      <x:c r="B745" s="18" t="str">
        <x:v>hra calculator</x:v>
      </x:c>
      <x:c r="C745" s="19" t="n">
        <x:v>12100</x:v>
      </x:c>
      <x:c r="D745" s="18" t="str">
        <x:v>Sí</x:v>
      </x:c>
      <x:c r="E745" s="18" t="str">
        <x:v>2025-10 / 2026-09</x:v>
      </x:c>
      <x:c r="F745" s="18" t="str">
        <x:v>Global · sin filtro de idioma</x:v>
      </x:c>
      <x:c r="G745" s="18" t="str">
        <x:v>search_volume</x:v>
      </x:c>
      <x:c r="H745" s="18" t="str">
        <x:v>global-candidates.json</x:v>
      </x:c>
      <x:c r="I745" s="18" t="str">
        <x:v>10181909-1949-0367-0000-d6f424f63198</x:v>
      </x:c>
      <x:c r="J745" s="18" t="str">
        <x:v>No</x:v>
      </x:c>
    </x:row>
    <x:row r="746" ht="34" customHeight="1">
      <x:c r="A746" s="18" t="str">
        <x:v>india-hra-exemption</x:v>
      </x:c>
      <x:c r="B746" s="18" t="str">
        <x:v>hra exemption calculator</x:v>
      </x:c>
      <x:c r="C746" s="19" t="n">
        <x:v>2900</x:v>
      </x:c>
      <x:c r="D746" s="18" t="str">
        <x:v>No</x:v>
      </x:c>
      <x:c r="E746" s="18" t="str">
        <x:v>2025-10 / 2026-09</x:v>
      </x:c>
      <x:c r="F746" s="18" t="str">
        <x:v>Global · sin filtro de idioma</x:v>
      </x:c>
      <x:c r="G746" s="18" t="str">
        <x:v>search_volume</x:v>
      </x:c>
      <x:c r="H746" s="18" t="str">
        <x:v>global-candidates.json</x:v>
      </x:c>
      <x:c r="I746" s="18" t="str">
        <x:v>10181909-1949-0367-0000-d6f424f63198</x:v>
      </x:c>
      <x:c r="J746" s="18" t="str">
        <x:v>No</x:v>
      </x:c>
    </x:row>
    <x:row r="747" ht="34" customHeight="1">
      <x:c r="A747" s="18" t="str">
        <x:v>india-hra-exemption</x:v>
      </x:c>
      <x:c r="B747" s="18" t="str">
        <x:v>house rent allowance calculator</x:v>
      </x:c>
      <x:c r="C747" s="19" t="n">
        <x:v>720</x:v>
      </x:c>
      <x:c r="D747" s="18" t="str">
        <x:v>No</x:v>
      </x:c>
      <x:c r="E747" s="18" t="str">
        <x:v>2025-10 / 2026-09</x:v>
      </x:c>
      <x:c r="F747" s="18" t="str">
        <x:v>Global · sin filtro de idioma</x:v>
      </x:c>
      <x:c r="G747" s="18" t="str">
        <x:v>search_volume</x:v>
      </x:c>
      <x:c r="H747" s="18" t="str">
        <x:v>global-candidates.json</x:v>
      </x:c>
      <x:c r="I747" s="18" t="str">
        <x:v>10181909-1949-0367-0000-d6f424f63198</x:v>
      </x:c>
      <x:c r="J747" s="18" t="str">
        <x:v>No</x:v>
      </x:c>
    </x:row>
    <x:row r="748" ht="34" customHeight="1">
      <x:c r="A748" s="18" t="str">
        <x:v>india-nps-calculator</x:v>
      </x:c>
      <x:c r="B748" s="18" t="str">
        <x:v>nps calculator</x:v>
      </x:c>
      <x:c r="C748" s="19" t="n">
        <x:v>165000</x:v>
      </x:c>
      <x:c r="D748" s="18" t="str">
        <x:v>Sí</x:v>
      </x:c>
      <x:c r="E748" s="18" t="str">
        <x:v>2025-10 / 2026-09</x:v>
      </x:c>
      <x:c r="F748" s="18" t="str">
        <x:v>Global · sin filtro de idioma</x:v>
      </x:c>
      <x:c r="G748" s="18" t="str">
        <x:v>search_volume</x:v>
      </x:c>
      <x:c r="H748" s="18" t="str">
        <x:v>global-candidates.json</x:v>
      </x:c>
      <x:c r="I748" s="18" t="str">
        <x:v>10181909-1949-0367-0000-d6f424f63198</x:v>
      </x:c>
      <x:c r="J748" s="18" t="str">
        <x:v>No</x:v>
      </x:c>
    </x:row>
    <x:row r="749" ht="34" customHeight="1">
      <x:c r="A749" s="18" t="str">
        <x:v>india-nps-calculator</x:v>
      </x:c>
      <x:c r="B749" s="18" t="str">
        <x:v>national pension scheme calculator</x:v>
      </x:c>
      <x:c r="C749" s="19" t="n">
        <x:v>14800</x:v>
      </x:c>
      <x:c r="D749" s="18" t="str">
        <x:v>No</x:v>
      </x:c>
      <x:c r="E749" s="18" t="str">
        <x:v>2025-10 / 2026-09</x:v>
      </x:c>
      <x:c r="F749" s="18" t="str">
        <x:v>Global · sin filtro de idioma</x:v>
      </x:c>
      <x:c r="G749" s="18" t="str">
        <x:v>search_volume</x:v>
      </x:c>
      <x:c r="H749" s="18" t="str">
        <x:v>global-candidates.json</x:v>
      </x:c>
      <x:c r="I749" s="18" t="str">
        <x:v>10181909-1949-0367-0000-d6f424f63198</x:v>
      </x:c>
      <x:c r="J749" s="18" t="str">
        <x:v>No</x:v>
      </x:c>
    </x:row>
    <x:row r="750" ht="34" customHeight="1">
      <x:c r="A750" s="18" t="str">
        <x:v>india-nps-calculator</x:v>
      </x:c>
      <x:c r="B750" s="18" t="str">
        <x:v>nps pension calculator</x:v>
      </x:c>
      <x:c r="C750" s="19" t="n">
        <x:v>14800</x:v>
      </x:c>
      <x:c r="D750" s="18" t="str">
        <x:v>No</x:v>
      </x:c>
      <x:c r="E750" s="18" t="str">
        <x:v>2025-10 / 2026-09</x:v>
      </x:c>
      <x:c r="F750" s="18" t="str">
        <x:v>Global · sin filtro de idioma</x:v>
      </x:c>
      <x:c r="G750" s="18" t="str">
        <x:v>search_volume</x:v>
      </x:c>
      <x:c r="H750" s="18" t="str">
        <x:v>global-candidates.json</x:v>
      </x:c>
      <x:c r="I750" s="18" t="str">
        <x:v>10181909-1949-0367-0000-d6f424f63198</x:v>
      </x:c>
      <x:c r="J750" s="18" t="str">
        <x:v>No</x:v>
      </x:c>
    </x:row>
    <x:row r="751" ht="34" customHeight="1">
      <x:c r="A751" s="18" t="str">
        <x:v>india-apy-calculator</x:v>
      </x:c>
      <x:c r="B751" s="18" t="str">
        <x:v>apy calculator</x:v>
      </x:c>
      <x:c r="C751" s="19" t="n">
        <x:v>49500</x:v>
      </x:c>
      <x:c r="D751" s="18" t="str">
        <x:v>Sí</x:v>
      </x:c>
      <x:c r="E751" s="18" t="str">
        <x:v>2025-10 / 2026-09</x:v>
      </x:c>
      <x:c r="F751" s="18" t="str">
        <x:v>Global · sin filtro de idioma</x:v>
      </x:c>
      <x:c r="G751" s="18" t="str">
        <x:v>search_volume</x:v>
      </x:c>
      <x:c r="H751" s="18" t="str">
        <x:v>global-candidates.json</x:v>
      </x:c>
      <x:c r="I751" s="18" t="str">
        <x:v>10181909-1949-0367-0000-d6f424f63198</x:v>
      </x:c>
      <x:c r="J751" s="18" t="str">
        <x:v>No</x:v>
      </x:c>
    </x:row>
    <x:row r="752" ht="34" customHeight="1">
      <x:c r="A752" s="18" t="str">
        <x:v>india-apy-calculator</x:v>
      </x:c>
      <x:c r="B752" s="18" t="str">
        <x:v>atal pension yojana calculator</x:v>
      </x:c>
      <x:c r="C752" s="19" t="n">
        <x:v>12100</x:v>
      </x:c>
      <x:c r="D752" s="18" t="str">
        <x:v>No</x:v>
      </x:c>
      <x:c r="E752" s="18" t="str">
        <x:v>2025-10 / 2026-09</x:v>
      </x:c>
      <x:c r="F752" s="18" t="str">
        <x:v>Global · sin filtro de idioma</x:v>
      </x:c>
      <x:c r="G752" s="18" t="str">
        <x:v>search_volume</x:v>
      </x:c>
      <x:c r="H752" s="18" t="str">
        <x:v>global-candidates.json</x:v>
      </x:c>
      <x:c r="I752" s="18" t="str">
        <x:v>10181909-1949-0367-0000-d6f424f63198</x:v>
      </x:c>
      <x:c r="J752" s="18" t="str">
        <x:v>No</x:v>
      </x:c>
    </x:row>
    <x:row r="753" ht="34" customHeight="1">
      <x:c r="A753" s="18" t="str">
        <x:v>india-apy-calculator</x:v>
      </x:c>
      <x:c r="B753" s="18" t="str">
        <x:v>atal pension yojana chart</x:v>
      </x:c>
      <x:c r="C753" s="19" t="n">
        <x:v>49500</x:v>
      </x:c>
      <x:c r="D753" s="18" t="str">
        <x:v>No</x:v>
      </x:c>
      <x:c r="E753" s="18" t="str">
        <x:v>2025-10 / 2026-09</x:v>
      </x:c>
      <x:c r="F753" s="18" t="str">
        <x:v>Global · sin filtro de idioma</x:v>
      </x:c>
      <x:c r="G753" s="18" t="str">
        <x:v>search_volume</x:v>
      </x:c>
      <x:c r="H753" s="18" t="str">
        <x:v>global-candidates.json</x:v>
      </x:c>
      <x:c r="I753" s="18" t="str">
        <x:v>10181909-1949-0367-0000-d6f424f63198</x:v>
      </x:c>
      <x:c r="J753" s="18" t="str">
        <x:v>No</x:v>
      </x:c>
    </x:row>
    <x:row r="754" ht="34" customHeight="1">
      <x:c r="A754" s="18" t="str">
        <x:v>uk-student-loan</x:v>
      </x:c>
      <x:c r="B754" s="18" t="str">
        <x:v>student loan repayment calculator uk</x:v>
      </x:c>
      <x:c r="C754" s="19" t="n">
        <x:v>1000</x:v>
      </x:c>
      <x:c r="D754" s="18" t="str">
        <x:v>No</x:v>
      </x:c>
      <x:c r="E754" s="18" t="str">
        <x:v>2025-10 / 2026-09</x:v>
      </x:c>
      <x:c r="F754" s="18" t="str">
        <x:v>Global · sin filtro de idioma</x:v>
      </x:c>
      <x:c r="G754" s="18" t="str">
        <x:v>search_volume</x:v>
      </x:c>
      <x:c r="H754" s="18" t="str">
        <x:v>global-candidates.json</x:v>
      </x:c>
      <x:c r="I754" s="18" t="str">
        <x:v>10181909-1949-0367-0000-d6f424f63198</x:v>
      </x:c>
      <x:c r="J754" s="18" t="str">
        <x:v>No</x:v>
      </x:c>
    </x:row>
    <x:row r="755" ht="34" customHeight="1">
      <x:c r="A755" s="18" t="str">
        <x:v>uk-student-loan</x:v>
      </x:c>
      <x:c r="B755" s="18" t="str">
        <x:v>student finance calculator</x:v>
      </x:c>
      <x:c r="C755" s="19" t="n">
        <x:v>8100</x:v>
      </x:c>
      <x:c r="D755" s="18" t="str">
        <x:v>Sí</x:v>
      </x:c>
      <x:c r="E755" s="18" t="str">
        <x:v>2025-10 / 2026-09</x:v>
      </x:c>
      <x:c r="F755" s="18" t="str">
        <x:v>Global · sin filtro de idioma</x:v>
      </x:c>
      <x:c r="G755" s="18" t="str">
        <x:v>search_volume</x:v>
      </x:c>
      <x:c r="H755" s="18" t="str">
        <x:v>global-candidates.json</x:v>
      </x:c>
      <x:c r="I755" s="18" t="str">
        <x:v>10181909-1949-0367-0000-d6f424f63198</x:v>
      </x:c>
      <x:c r="J755" s="18" t="str">
        <x:v>No</x:v>
      </x:c>
    </x:row>
    <x:row r="756" ht="34" customHeight="1">
      <x:c r="A756" s="18" t="str">
        <x:v>uk-student-loan</x:v>
      </x:c>
      <x:c r="B756" s="18" t="str">
        <x:v>student loan calculator uk</x:v>
      </x:c>
      <x:c r="C756" s="19" t="n">
        <x:v>1600</x:v>
      </x:c>
      <x:c r="D756" s="18" t="str">
        <x:v>No</x:v>
      </x:c>
      <x:c r="E756" s="18" t="str">
        <x:v>2025-10 / 2026-09</x:v>
      </x:c>
      <x:c r="F756" s="18" t="str">
        <x:v>Global · sin filtro de idioma</x:v>
      </x:c>
      <x:c r="G756" s="18" t="str">
        <x:v>search_volume</x:v>
      </x:c>
      <x:c r="H756" s="18" t="str">
        <x:v>global-candidates.json</x:v>
      </x:c>
      <x:c r="I756" s="18" t="str">
        <x:v>10181909-1949-0367-0000-d6f424f63198</x:v>
      </x:c>
      <x:c r="J756" s="18" t="str">
        <x:v>No</x:v>
      </x:c>
    </x:row>
    <x:row r="757" ht="34" customHeight="1">
      <x:c r="A757" s="18" t="str">
        <x:v>capital-gains-tax-uk</x:v>
      </x:c>
      <x:c r="B757" s="18" t="str">
        <x:v>capital gains tax calculator uk</x:v>
      </x:c>
      <x:c r="C757" s="19" t="n">
        <x:v>9900</x:v>
      </x:c>
      <x:c r="D757" s="18" t="str">
        <x:v>No</x:v>
      </x:c>
      <x:c r="E757" s="18" t="str">
        <x:v>2025-10 / 2026-09</x:v>
      </x:c>
      <x:c r="F757" s="18" t="str">
        <x:v>Global · sin filtro de idioma</x:v>
      </x:c>
      <x:c r="G757" s="18" t="str">
        <x:v>search_volume</x:v>
      </x:c>
      <x:c r="H757" s="18" t="str">
        <x:v>global-candidates.json</x:v>
      </x:c>
      <x:c r="I757" s="18" t="str">
        <x:v>10181909-1949-0367-0000-d6f424f63198</x:v>
      </x:c>
      <x:c r="J757" s="18" t="str">
        <x:v>No</x:v>
      </x:c>
    </x:row>
    <x:row r="758" ht="34" customHeight="1">
      <x:c r="A758" s="18" t="str">
        <x:v>capital-gains-tax-uk</x:v>
      </x:c>
      <x:c r="B758" s="18" t="str">
        <x:v>cgt calculator</x:v>
      </x:c>
      <x:c r="C758" s="19" t="n">
        <x:v>8100</x:v>
      </x:c>
      <x:c r="D758" s="18" t="str">
        <x:v>No</x:v>
      </x:c>
      <x:c r="E758" s="18" t="str">
        <x:v>2025-10 / 2026-09</x:v>
      </x:c>
      <x:c r="F758" s="18" t="str">
        <x:v>Global · sin filtro de idioma</x:v>
      </x:c>
      <x:c r="G758" s="18" t="str">
        <x:v>search_volume</x:v>
      </x:c>
      <x:c r="H758" s="18" t="str">
        <x:v>global-candidates.json</x:v>
      </x:c>
      <x:c r="I758" s="18" t="str">
        <x:v>10181909-1949-0367-0000-d6f424f63198</x:v>
      </x:c>
      <x:c r="J758" s="18" t="str">
        <x:v>No</x:v>
      </x:c>
    </x:row>
    <x:row r="759" ht="34" customHeight="1">
      <x:c r="A759" s="18" t="str">
        <x:v>capital-gains-tax-uk</x:v>
      </x:c>
      <x:c r="B759" s="18" t="str">
        <x:v>capital gains calculator</x:v>
      </x:c>
      <x:c r="C759" s="19" t="n">
        <x:v>18100</x:v>
      </x:c>
      <x:c r="D759" s="18" t="str">
        <x:v>Sí</x:v>
      </x:c>
      <x:c r="E759" s="18" t="str">
        <x:v>2025-10 / 2026-09</x:v>
      </x:c>
      <x:c r="F759" s="18" t="str">
        <x:v>Global · sin filtro de idioma</x:v>
      </x:c>
      <x:c r="G759" s="18" t="str">
        <x:v>search_volume</x:v>
      </x:c>
      <x:c r="H759" s="18" t="str">
        <x:v>global-candidates.json</x:v>
      </x:c>
      <x:c r="I759" s="18" t="str">
        <x:v>10181909-1949-0367-0000-d6f424f63198</x:v>
      </x:c>
      <x:c r="J759" s="18" t="str">
        <x:v>No</x:v>
      </x:c>
    </x:row>
    <x:row r="760" ht="34" customHeight="1">
      <x:c r="A760" s="18" t="str">
        <x:v>us-w4-withholding</x:v>
      </x:c>
      <x:c r="B760" s="18" t="str">
        <x:v>w4 calculator</x:v>
      </x:c>
      <x:c r="C760" s="19" t="n">
        <x:v>6600</x:v>
      </x:c>
      <x:c r="D760" s="18" t="str">
        <x:v>No</x:v>
      </x:c>
      <x:c r="E760" s="18" t="str">
        <x:v>2025-10 / 2026-09</x:v>
      </x:c>
      <x:c r="F760" s="18" t="str">
        <x:v>Global · sin filtro de idioma</x:v>
      </x:c>
      <x:c r="G760" s="18" t="str">
        <x:v>search_volume</x:v>
      </x:c>
      <x:c r="H760" s="18" t="str">
        <x:v>global-candidates.json</x:v>
      </x:c>
      <x:c r="I760" s="18" t="str">
        <x:v>10181909-1949-0367-0000-d6f424f63198</x:v>
      </x:c>
      <x:c r="J760" s="18" t="str">
        <x:v>No</x:v>
      </x:c>
    </x:row>
    <x:row r="761" ht="34" customHeight="1">
      <x:c r="A761" s="18" t="str">
        <x:v>us-w4-withholding</x:v>
      </x:c>
      <x:c r="B761" s="18" t="str">
        <x:v>tax withholding estimator</x:v>
      </x:c>
      <x:c r="C761" s="19" t="n">
        <x:v>49500</x:v>
      </x:c>
      <x:c r="D761" s="18" t="str">
        <x:v>Sí</x:v>
      </x:c>
      <x:c r="E761" s="18" t="str">
        <x:v>2025-10 / 2026-09</x:v>
      </x:c>
      <x:c r="F761" s="18" t="str">
        <x:v>Global · sin filtro de idioma</x:v>
      </x:c>
      <x:c r="G761" s="18" t="str">
        <x:v>search_volume</x:v>
      </x:c>
      <x:c r="H761" s="18" t="str">
        <x:v>global-candidates.json</x:v>
      </x:c>
      <x:c r="I761" s="18" t="str">
        <x:v>10181909-1949-0367-0000-d6f424f63198</x:v>
      </x:c>
      <x:c r="J761" s="18" t="str">
        <x:v>No</x:v>
      </x:c>
    </x:row>
    <x:row r="762" ht="34" customHeight="1">
      <x:c r="A762" s="18" t="str">
        <x:v>us-w4-withholding</x:v>
      </x:c>
      <x:c r="B762" s="18" t="str">
        <x:v>withholding calculator</x:v>
      </x:c>
      <x:c r="C762" s="19" t="n">
        <x:v>4400</x:v>
      </x:c>
      <x:c r="D762" s="18" t="str">
        <x:v>No</x:v>
      </x:c>
      <x:c r="E762" s="18" t="str">
        <x:v>2025-10 / 2026-09</x:v>
      </x:c>
      <x:c r="F762" s="18" t="str">
        <x:v>Global · sin filtro de idioma</x:v>
      </x:c>
      <x:c r="G762" s="18" t="str">
        <x:v>search_volume</x:v>
      </x:c>
      <x:c r="H762" s="18" t="str">
        <x:v>global-candidates.json</x:v>
      </x:c>
      <x:c r="I762" s="18" t="str">
        <x:v>10181909-1949-0367-0000-d6f424f63198</x:v>
      </x:c>
      <x:c r="J762" s="18" t="str">
        <x:v>No</x:v>
      </x:c>
    </x:row>
    <x:row r="763" ht="34" customHeight="1">
      <x:c r="A763" s="18" t="str">
        <x:v>us-self-employment-tax</x:v>
      </x:c>
      <x:c r="B763" s="18" t="str">
        <x:v>self employment tax calculator</x:v>
      </x:c>
      <x:c r="C763" s="19" t="n">
        <x:v>12100</x:v>
      </x:c>
      <x:c r="D763" s="18" t="str">
        <x:v>Sí</x:v>
      </x:c>
      <x:c r="E763" s="18" t="str">
        <x:v>2025-10 / 2026-09</x:v>
      </x:c>
      <x:c r="F763" s="18" t="str">
        <x:v>Global · sin filtro de idioma</x:v>
      </x:c>
      <x:c r="G763" s="18" t="str">
        <x:v>search_volume</x:v>
      </x:c>
      <x:c r="H763" s="18" t="str">
        <x:v>global-candidates.json</x:v>
      </x:c>
      <x:c r="I763" s="18" t="str">
        <x:v>10181909-1949-0367-0000-d6f424f63198</x:v>
      </x:c>
      <x:c r="J763" s="18" t="str">
        <x:v>No</x:v>
      </x:c>
    </x:row>
    <x:row r="764" ht="34" customHeight="1">
      <x:c r="A764" s="18" t="str">
        <x:v>us-self-employment-tax</x:v>
      </x:c>
      <x:c r="B764" s="18" t="str">
        <x:v>1099 tax calculator</x:v>
      </x:c>
      <x:c r="C764" s="19" t="n">
        <x:v>12100</x:v>
      </x:c>
      <x:c r="D764" s="18" t="str">
        <x:v>No</x:v>
      </x:c>
      <x:c r="E764" s="18" t="str">
        <x:v>2025-10 / 2026-09</x:v>
      </x:c>
      <x:c r="F764" s="18" t="str">
        <x:v>Global · sin filtro de idioma</x:v>
      </x:c>
      <x:c r="G764" s="18" t="str">
        <x:v>search_volume</x:v>
      </x:c>
      <x:c r="H764" s="18" t="str">
        <x:v>global-candidates.json</x:v>
      </x:c>
      <x:c r="I764" s="18" t="str">
        <x:v>10181909-1949-0367-0000-d6f424f63198</x:v>
      </x:c>
      <x:c r="J764" s="18" t="str">
        <x:v>No</x:v>
      </x:c>
    </x:row>
    <x:row r="765" ht="34" customHeight="1">
      <x:c r="A765" s="18" t="str">
        <x:v>us-self-employment-tax</x:v>
      </x:c>
      <x:c r="B765" s="18" t="str">
        <x:v>self employed tax calculator</x:v>
      </x:c>
      <x:c r="C765" s="19" t="n">
        <x:v>12100</x:v>
      </x:c>
      <x:c r="D765" s="18" t="str">
        <x:v>No</x:v>
      </x:c>
      <x:c r="E765" s="18" t="str">
        <x:v>2025-10 / 2026-09</x:v>
      </x:c>
      <x:c r="F765" s="18" t="str">
        <x:v>Global · sin filtro de idioma</x:v>
      </x:c>
      <x:c r="G765" s="18" t="str">
        <x:v>search_volume</x:v>
      </x:c>
      <x:c r="H765" s="18" t="str">
        <x:v>global-candidates.json</x:v>
      </x:c>
      <x:c r="I765" s="18" t="str">
        <x:v>10181909-1949-0367-0000-d6f424f63198</x:v>
      </x:c>
      <x:c r="J765" s="18" t="str">
        <x:v>No</x:v>
      </x:c>
    </x:row>
    <x:row r="766" ht="34" customHeight="1">
      <x:c r="A766" s="18" t="str">
        <x:v>us-estate-tax</x:v>
      </x:c>
      <x:c r="B766" s="18" t="str">
        <x:v>estate tax calculator</x:v>
      </x:c>
      <x:c r="C766" s="19" t="n">
        <x:v>1000</x:v>
      </x:c>
      <x:c r="D766" s="18" t="str">
        <x:v>Sí</x:v>
      </x:c>
      <x:c r="E766" s="18" t="str">
        <x:v>2025-10 / 2026-09</x:v>
      </x:c>
      <x:c r="F766" s="18" t="str">
        <x:v>Global · sin filtro de idioma</x:v>
      </x:c>
      <x:c r="G766" s="18" t="str">
        <x:v>search_volume</x:v>
      </x:c>
      <x:c r="H766" s="18" t="str">
        <x:v>global-candidates.json</x:v>
      </x:c>
      <x:c r="I766" s="18" t="str">
        <x:v>10181909-1949-0367-0000-d6f424f63198</x:v>
      </x:c>
      <x:c r="J766" s="18" t="str">
        <x:v>No</x:v>
      </x:c>
    </x:row>
    <x:row r="767" ht="34" customHeight="1">
      <x:c r="A767" s="18" t="str">
        <x:v>us-estate-tax</x:v>
      </x:c>
      <x:c r="B767" s="18" t="str">
        <x:v>inheritance tax calculator us</x:v>
      </x:c>
      <x:c r="C767" s="19" t="str">
        <x:v>n.a.</x:v>
      </x:c>
      <x:c r="D767" s="18" t="str">
        <x:v>No</x:v>
      </x:c>
      <x:c r="E767" s="18" t="str">
        <x:v>n.a.</x:v>
      </x:c>
      <x:c r="F767" s="18" t="str">
        <x:v>Global · sin filtro de idioma</x:v>
      </x:c>
      <x:c r="G767" s="18" t="str">
        <x:v>search_volume</x:v>
      </x:c>
      <x:c r="H767" s="18" t="str">
        <x:v>global-candidates.json</x:v>
      </x:c>
      <x:c r="I767" s="18" t="str">
        <x:v>10181909-1949-0367-0000-d6f424f63198</x:v>
      </x:c>
      <x:c r="J767" s="18" t="str">
        <x:v>No</x:v>
      </x:c>
    </x:row>
    <x:row r="768" ht="34" customHeight="1">
      <x:c r="A768" s="18" t="str">
        <x:v>us-estate-tax</x:v>
      </x:c>
      <x:c r="B768" s="18" t="str">
        <x:v>federal estate tax calculator</x:v>
      </x:c>
      <x:c r="C768" s="19" t="n">
        <x:v>210</x:v>
      </x:c>
      <x:c r="D768" s="18" t="str">
        <x:v>No</x:v>
      </x:c>
      <x:c r="E768" s="18" t="str">
        <x:v>2025-10 / 2026-09</x:v>
      </x:c>
      <x:c r="F768" s="18" t="str">
        <x:v>Global · sin filtro de idioma</x:v>
      </x:c>
      <x:c r="G768" s="18" t="str">
        <x:v>search_volume</x:v>
      </x:c>
      <x:c r="H768" s="18" t="str">
        <x:v>global-candidates.json</x:v>
      </x:c>
      <x:c r="I768" s="18" t="str">
        <x:v>10181909-1949-0367-0000-d6f424f63198</x:v>
      </x:c>
      <x:c r="J768" s="18" t="str">
        <x:v>No</x:v>
      </x:c>
    </x:row>
    <x:row r="769" ht="34" customHeight="1">
      <x:c r="A769" s="18" t="str">
        <x:v>us-roth-conversion</x:v>
      </x:c>
      <x:c r="B769" s="18" t="str">
        <x:v>roth conversion calculator</x:v>
      </x:c>
      <x:c r="C769" s="19" t="n">
        <x:v>8100</x:v>
      </x:c>
      <x:c r="D769" s="18" t="str">
        <x:v>No</x:v>
      </x:c>
      <x:c r="E769" s="18" t="str">
        <x:v>2025-10 / 2026-09</x:v>
      </x:c>
      <x:c r="F769" s="18" t="str">
        <x:v>Global · sin filtro de idioma</x:v>
      </x:c>
      <x:c r="G769" s="18" t="str">
        <x:v>search_volume</x:v>
      </x:c>
      <x:c r="H769" s="18" t="str">
        <x:v>global-candidates.json</x:v>
      </x:c>
      <x:c r="I769" s="18" t="str">
        <x:v>10181909-1949-0367-0000-d6f424f63198</x:v>
      </x:c>
      <x:c r="J769" s="18" t="str">
        <x:v>No</x:v>
      </x:c>
    </x:row>
    <x:row r="770" ht="34" customHeight="1">
      <x:c r="A770" s="18" t="str">
        <x:v>us-roth-conversion</x:v>
      </x:c>
      <x:c r="B770" s="18" t="str">
        <x:v>roth ira conversion calculator</x:v>
      </x:c>
      <x:c r="C770" s="19" t="n">
        <x:v>1900</x:v>
      </x:c>
      <x:c r="D770" s="18" t="str">
        <x:v>No</x:v>
      </x:c>
      <x:c r="E770" s="18" t="str">
        <x:v>2025-10 / 2026-09</x:v>
      </x:c>
      <x:c r="F770" s="18" t="str">
        <x:v>Global · sin filtro de idioma</x:v>
      </x:c>
      <x:c r="G770" s="18" t="str">
        <x:v>search_volume</x:v>
      </x:c>
      <x:c r="H770" s="18" t="str">
        <x:v>global-candidates.json</x:v>
      </x:c>
      <x:c r="I770" s="18" t="str">
        <x:v>10181909-1949-0367-0000-d6f424f63198</x:v>
      </x:c>
      <x:c r="J770" s="18" t="str">
        <x:v>No</x:v>
      </x:c>
    </x:row>
    <x:row r="771" ht="34" customHeight="1">
      <x:c r="A771" s="18" t="str">
        <x:v>us-roth-conversion</x:v>
      </x:c>
      <x:c r="B771" s="18" t="str">
        <x:v>roth conversion</x:v>
      </x:c>
      <x:c r="C771" s="19" t="n">
        <x:v>12100</x:v>
      </x:c>
      <x:c r="D771" s="18" t="str">
        <x:v>Sí</x:v>
      </x:c>
      <x:c r="E771" s="18" t="str">
        <x:v>2025-10 / 2026-09</x:v>
      </x:c>
      <x:c r="F771" s="18" t="str">
        <x:v>Global · sin filtro de idioma</x:v>
      </x:c>
      <x:c r="G771" s="18" t="str">
        <x:v>search_volume</x:v>
      </x:c>
      <x:c r="H771" s="18" t="str">
        <x:v>global-candidates.json</x:v>
      </x:c>
      <x:c r="I771" s="18" t="str">
        <x:v>10181909-1949-0367-0000-d6f424f63198</x:v>
      </x:c>
      <x:c r="J771" s="18" t="str">
        <x:v>No</x:v>
      </x:c>
    </x:row>
    <x:row r="772" ht="34" customHeight="1">
      <x:c r="A772" s="18" t="str">
        <x:v>us-aca-subsidy</x:v>
      </x:c>
      <x:c r="B772" s="18" t="str">
        <x:v>aca subsidy calculator</x:v>
      </x:c>
      <x:c r="C772" s="19" t="n">
        <x:v>2900</x:v>
      </x:c>
      <x:c r="D772" s="18" t="str">
        <x:v>Sí</x:v>
      </x:c>
      <x:c r="E772" s="18" t="str">
        <x:v>2025-10 / 2026-09</x:v>
      </x:c>
      <x:c r="F772" s="18" t="str">
        <x:v>Global · sin filtro de idioma</x:v>
      </x:c>
      <x:c r="G772" s="18" t="str">
        <x:v>search_volume</x:v>
      </x:c>
      <x:c r="H772" s="18" t="str">
        <x:v>global-candidates.json</x:v>
      </x:c>
      <x:c r="I772" s="18" t="str">
        <x:v>10181909-1949-0367-0000-d6f424f63198</x:v>
      </x:c>
      <x:c r="J772" s="18" t="str">
        <x:v>No</x:v>
      </x:c>
    </x:row>
    <x:row r="773" ht="34" customHeight="1">
      <x:c r="A773" s="18" t="str">
        <x:v>us-aca-subsidy</x:v>
      </x:c>
      <x:c r="B773" s="18" t="str">
        <x:v>obamacare calculator</x:v>
      </x:c>
      <x:c r="C773" s="19" t="n">
        <x:v>1000</x:v>
      </x:c>
      <x:c r="D773" s="18" t="str">
        <x:v>No</x:v>
      </x:c>
      <x:c r="E773" s="18" t="str">
        <x:v>2025-10 / 2026-09</x:v>
      </x:c>
      <x:c r="F773" s="18" t="str">
        <x:v>Global · sin filtro de idioma</x:v>
      </x:c>
      <x:c r="G773" s="18" t="str">
        <x:v>search_volume</x:v>
      </x:c>
      <x:c r="H773" s="18" t="str">
        <x:v>global-candidates.json</x:v>
      </x:c>
      <x:c r="I773" s="18" t="str">
        <x:v>10181909-1949-0367-0000-d6f424f63198</x:v>
      </x:c>
      <x:c r="J773" s="18" t="str">
        <x:v>No</x:v>
      </x:c>
    </x:row>
    <x:row r="774" ht="34" customHeight="1">
      <x:c r="A774" s="18" t="str">
        <x:v>us-aca-subsidy</x:v>
      </x:c>
      <x:c r="B774" s="18" t="str">
        <x:v>health insurance subsidy calculator</x:v>
      </x:c>
      <x:c r="C774" s="19" t="n">
        <x:v>480</x:v>
      </x:c>
      <x:c r="D774" s="18" t="str">
        <x:v>No</x:v>
      </x:c>
      <x:c r="E774" s="18" t="str">
        <x:v>2025-10 / 2026-09</x:v>
      </x:c>
      <x:c r="F774" s="18" t="str">
        <x:v>Global · sin filtro de idioma</x:v>
      </x:c>
      <x:c r="G774" s="18" t="str">
        <x:v>search_volume</x:v>
      </x:c>
      <x:c r="H774" s="18" t="str">
        <x:v>global-candidates.json</x:v>
      </x:c>
      <x:c r="I774" s="18" t="str">
        <x:v>10181909-1949-0367-0000-d6f424f63198</x:v>
      </x:c>
      <x:c r="J774" s="18" t="str">
        <x:v>No</x:v>
      </x:c>
    </x:row>
    <x:row r="775" ht="34" customHeight="1">
      <x:c r="A775" s="18" t="str">
        <x:v>spain-income-tax</x:v>
      </x:c>
      <x:c r="B775" s="18" t="str">
        <x:v>calculadora irpf</x:v>
      </x:c>
      <x:c r="C775" s="19" t="n">
        <x:v>49500</x:v>
      </x:c>
      <x:c r="D775" s="18" t="str">
        <x:v>Sí</x:v>
      </x:c>
      <x:c r="E775" s="18" t="str">
        <x:v>2025-10 / 2026-09</x:v>
      </x:c>
      <x:c r="F775" s="18" t="str">
        <x:v>Global · sin filtro de idioma</x:v>
      </x:c>
      <x:c r="G775" s="18" t="str">
        <x:v>search_volume</x:v>
      </x:c>
      <x:c r="H775" s="18" t="str">
        <x:v>global-candidates.json</x:v>
      </x:c>
      <x:c r="I775" s="18" t="str">
        <x:v>10181909-1949-0367-0000-d6f424f63198</x:v>
      </x:c>
      <x:c r="J775" s="18" t="str">
        <x:v>No</x:v>
      </x:c>
    </x:row>
    <x:row r="776" ht="34" customHeight="1">
      <x:c r="A776" s="18" t="str">
        <x:v>spain-income-tax</x:v>
      </x:c>
      <x:c r="B776" s="18" t="str">
        <x:v>simulador renta</x:v>
      </x:c>
      <x:c r="C776" s="19" t="n">
        <x:v>6600</x:v>
      </x:c>
      <x:c r="D776" s="18" t="str">
        <x:v>No</x:v>
      </x:c>
      <x:c r="E776" s="18" t="str">
        <x:v>2025-10 / 2026-09</x:v>
      </x:c>
      <x:c r="F776" s="18" t="str">
        <x:v>Global · sin filtro de idioma</x:v>
      </x:c>
      <x:c r="G776" s="18" t="str">
        <x:v>search_volume</x:v>
      </x:c>
      <x:c r="H776" s="18" t="str">
        <x:v>global-candidates.json</x:v>
      </x:c>
      <x:c r="I776" s="18" t="str">
        <x:v>10181909-1949-0367-0000-d6f424f63198</x:v>
      </x:c>
      <x:c r="J776" s="18" t="str">
        <x:v>No</x:v>
      </x:c>
    </x:row>
    <x:row r="777" ht="34" customHeight="1">
      <x:c r="A777" s="18" t="str">
        <x:v>spain-income-tax</x:v>
      </x:c>
      <x:c r="B777" s="18" t="str">
        <x:v>calcular irpf</x:v>
      </x:c>
      <x:c r="C777" s="19" t="n">
        <x:v>49500</x:v>
      </x:c>
      <x:c r="D777" s="18" t="str">
        <x:v>No</x:v>
      </x:c>
      <x:c r="E777" s="18" t="str">
        <x:v>2025-10 / 2026-09</x:v>
      </x:c>
      <x:c r="F777" s="18" t="str">
        <x:v>Global · sin filtro de idioma</x:v>
      </x:c>
      <x:c r="G777" s="18" t="str">
        <x:v>search_volume</x:v>
      </x:c>
      <x:c r="H777" s="18" t="str">
        <x:v>global-candidates.json</x:v>
      </x:c>
      <x:c r="I777" s="18" t="str">
        <x:v>10181909-1949-0367-0000-d6f424f63198</x:v>
      </x:c>
      <x:c r="J777" s="18" t="str">
        <x:v>No</x:v>
      </x:c>
    </x:row>
    <x:row r="778" ht="34" customHeight="1">
      <x:c r="A778" s="18" t="str">
        <x:v>spain-termination-pay</x:v>
      </x:c>
      <x:c r="B778" s="18" t="str">
        <x:v>calculadora finiquito</x:v>
      </x:c>
      <x:c r="C778" s="19" t="n">
        <x:v>60500</x:v>
      </x:c>
      <x:c r="D778" s="18" t="str">
        <x:v>Sí</x:v>
      </x:c>
      <x:c r="E778" s="18" t="str">
        <x:v>2025-10 / 2026-09</x:v>
      </x:c>
      <x:c r="F778" s="18" t="str">
        <x:v>Global · sin filtro de idioma</x:v>
      </x:c>
      <x:c r="G778" s="18" t="str">
        <x:v>search_volume</x:v>
      </x:c>
      <x:c r="H778" s="18" t="str">
        <x:v>global-candidates.json</x:v>
      </x:c>
      <x:c r="I778" s="18" t="str">
        <x:v>10181909-1949-0367-0000-d6f424f63198</x:v>
      </x:c>
      <x:c r="J778" s="18" t="str">
        <x:v>No</x:v>
      </x:c>
    </x:row>
    <x:row r="779" ht="34" customHeight="1">
      <x:c r="A779" s="18" t="str">
        <x:v>spain-termination-pay</x:v>
      </x:c>
      <x:c r="B779" s="18" t="str">
        <x:v>calcular finiquito</x:v>
      </x:c>
      <x:c r="C779" s="19" t="n">
        <x:v>60500</x:v>
      </x:c>
      <x:c r="D779" s="18" t="str">
        <x:v>No</x:v>
      </x:c>
      <x:c r="E779" s="18" t="str">
        <x:v>2025-10 / 2026-09</x:v>
      </x:c>
      <x:c r="F779" s="18" t="str">
        <x:v>Global · sin filtro de idioma</x:v>
      </x:c>
      <x:c r="G779" s="18" t="str">
        <x:v>search_volume</x:v>
      </x:c>
      <x:c r="H779" s="18" t="str">
        <x:v>global-candidates.json</x:v>
      </x:c>
      <x:c r="I779" s="18" t="str">
        <x:v>10181909-1949-0367-0000-d6f424f63198</x:v>
      </x:c>
      <x:c r="J779" s="18" t="str">
        <x:v>No</x:v>
      </x:c>
    </x:row>
    <x:row r="780" ht="34" customHeight="1">
      <x:c r="A780" s="18" t="str">
        <x:v>spain-termination-pay</x:v>
      </x:c>
      <x:c r="B780" s="18" t="str">
        <x:v>finiquito calculadora</x:v>
      </x:c>
      <x:c r="C780" s="19" t="n">
        <x:v>60500</x:v>
      </x:c>
      <x:c r="D780" s="18" t="str">
        <x:v>No</x:v>
      </x:c>
      <x:c r="E780" s="18" t="str">
        <x:v>2025-10 / 2026-09</x:v>
      </x:c>
      <x:c r="F780" s="18" t="str">
        <x:v>Global · sin filtro de idioma</x:v>
      </x:c>
      <x:c r="G780" s="18" t="str">
        <x:v>search_volume</x:v>
      </x:c>
      <x:c r="H780" s="18" t="str">
        <x:v>global-candidates.json</x:v>
      </x:c>
      <x:c r="I780" s="18" t="str">
        <x:v>10181909-1949-0367-0000-d6f424f63198</x:v>
      </x:c>
      <x:c r="J780" s="18" t="str">
        <x:v>No</x:v>
      </x:c>
    </x:row>
    <x:row r="781" ht="34" customHeight="1">
      <x:c r="A781" s="18" t="str">
        <x:v>spain-unemployment-benefit</x:v>
      </x:c>
      <x:c r="B781" s="18" t="str">
        <x:v>calcular paro</x:v>
      </x:c>
      <x:c r="C781" s="19" t="n">
        <x:v>14800</x:v>
      </x:c>
      <x:c r="D781" s="18" t="str">
        <x:v>Sí</x:v>
      </x:c>
      <x:c r="E781" s="18" t="str">
        <x:v>2025-10 / 2026-09</x:v>
      </x:c>
      <x:c r="F781" s="18" t="str">
        <x:v>Global · sin filtro de idioma</x:v>
      </x:c>
      <x:c r="G781" s="18" t="str">
        <x:v>search_volume</x:v>
      </x:c>
      <x:c r="H781" s="18" t="str">
        <x:v>global-candidates.json</x:v>
      </x:c>
      <x:c r="I781" s="18" t="str">
        <x:v>10181909-1949-0367-0000-d6f424f63198</x:v>
      </x:c>
      <x:c r="J781" s="18" t="str">
        <x:v>No</x:v>
      </x:c>
    </x:row>
    <x:row r="782" ht="34" customHeight="1">
      <x:c r="A782" s="18" t="str">
        <x:v>spain-unemployment-benefit</x:v>
      </x:c>
      <x:c r="B782" s="18" t="str">
        <x:v>calculadora paro</x:v>
      </x:c>
      <x:c r="C782" s="19" t="n">
        <x:v>14800</x:v>
      </x:c>
      <x:c r="D782" s="18" t="str">
        <x:v>No</x:v>
      </x:c>
      <x:c r="E782" s="18" t="str">
        <x:v>2025-10 / 2026-09</x:v>
      </x:c>
      <x:c r="F782" s="18" t="str">
        <x:v>Global · sin filtro de idioma</x:v>
      </x:c>
      <x:c r="G782" s="18" t="str">
        <x:v>search_volume</x:v>
      </x:c>
      <x:c r="H782" s="18" t="str">
        <x:v>global-candidates.json</x:v>
      </x:c>
      <x:c r="I782" s="18" t="str">
        <x:v>10181909-1949-0367-0000-d6f424f63198</x:v>
      </x:c>
      <x:c r="J782" s="18" t="str">
        <x:v>No</x:v>
      </x:c>
    </x:row>
    <x:row r="783" ht="34" customHeight="1">
      <x:c r="A783" s="18" t="str">
        <x:v>spain-unemployment-benefit</x:v>
      </x:c>
      <x:c r="B783" s="18" t="str">
        <x:v>simulador paro</x:v>
      </x:c>
      <x:c r="C783" s="19" t="n">
        <x:v>1900</x:v>
      </x:c>
      <x:c r="D783" s="18" t="str">
        <x:v>No</x:v>
      </x:c>
      <x:c r="E783" s="18" t="str">
        <x:v>2025-10 / 2026-09</x:v>
      </x:c>
      <x:c r="F783" s="18" t="str">
        <x:v>Global · sin filtro de idioma</x:v>
      </x:c>
      <x:c r="G783" s="18" t="str">
        <x:v>search_volume</x:v>
      </x:c>
      <x:c r="H783" s="18" t="str">
        <x:v>global-candidates.json</x:v>
      </x:c>
      <x:c r="I783" s="18" t="str">
        <x:v>10181909-1949-0367-0000-d6f424f63198</x:v>
      </x:c>
      <x:c r="J783" s="18" t="str">
        <x:v>No</x:v>
      </x:c>
    </x:row>
    <x:row r="784" ht="34" customHeight="1">
      <x:c r="A784" s="18" t="str">
        <x:v>mexico-income-tax</x:v>
      </x:c>
      <x:c r="B784" s="18" t="str">
        <x:v>calculadora isr</x:v>
      </x:c>
      <x:c r="C784" s="19" t="n">
        <x:v>27100</x:v>
      </x:c>
      <x:c r="D784" s="18" t="str">
        <x:v>Sí</x:v>
      </x:c>
      <x:c r="E784" s="18" t="str">
        <x:v>2025-10 / 2026-09</x:v>
      </x:c>
      <x:c r="F784" s="18" t="str">
        <x:v>Global · sin filtro de idioma</x:v>
      </x:c>
      <x:c r="G784" s="18" t="str">
        <x:v>search_volume</x:v>
      </x:c>
      <x:c r="H784" s="18" t="str">
        <x:v>global-candidates.json</x:v>
      </x:c>
      <x:c r="I784" s="18" t="str">
        <x:v>10181909-1949-0367-0000-d6f424f63198</x:v>
      </x:c>
      <x:c r="J784" s="18" t="str">
        <x:v>No</x:v>
      </x:c>
    </x:row>
    <x:row r="785" ht="34" customHeight="1">
      <x:c r="A785" s="18" t="str">
        <x:v>mexico-income-tax</x:v>
      </x:c>
      <x:c r="B785" s="18" t="str">
        <x:v>calcular isr</x:v>
      </x:c>
      <x:c r="C785" s="19" t="n">
        <x:v>5400</x:v>
      </x:c>
      <x:c r="D785" s="18" t="str">
        <x:v>No</x:v>
      </x:c>
      <x:c r="E785" s="18" t="str">
        <x:v>2025-10 / 2026-09</x:v>
      </x:c>
      <x:c r="F785" s="18" t="str">
        <x:v>Global · sin filtro de idioma</x:v>
      </x:c>
      <x:c r="G785" s="18" t="str">
        <x:v>search_volume</x:v>
      </x:c>
      <x:c r="H785" s="18" t="str">
        <x:v>global-candidates.json</x:v>
      </x:c>
      <x:c r="I785" s="18" t="str">
        <x:v>10181909-1949-0367-0000-d6f424f63198</x:v>
      </x:c>
      <x:c r="J785" s="18" t="str">
        <x:v>No</x:v>
      </x:c>
    </x:row>
    <x:row r="786" ht="34" customHeight="1">
      <x:c r="A786" s="18" t="str">
        <x:v>mexico-income-tax</x:v>
      </x:c>
      <x:c r="B786" s="18" t="str">
        <x:v>isr calculadora</x:v>
      </x:c>
      <x:c r="C786" s="19" t="n">
        <x:v>27100</x:v>
      </x:c>
      <x:c r="D786" s="18" t="str">
        <x:v>No</x:v>
      </x:c>
      <x:c r="E786" s="18" t="str">
        <x:v>2025-10 / 2026-09</x:v>
      </x:c>
      <x:c r="F786" s="18" t="str">
        <x:v>Global · sin filtro de idioma</x:v>
      </x:c>
      <x:c r="G786" s="18" t="str">
        <x:v>search_volume</x:v>
      </x:c>
      <x:c r="H786" s="18" t="str">
        <x:v>global-candidates.json</x:v>
      </x:c>
      <x:c r="I786" s="18" t="str">
        <x:v>10181909-1949-0367-0000-d6f424f63198</x:v>
      </x:c>
      <x:c r="J786" s="18" t="str">
        <x:v>No</x:v>
      </x:c>
    </x:row>
    <x:row r="787" ht="34" customHeight="1">
      <x:c r="A787" s="18" t="str">
        <x:v>mexico-profit-sharing</x:v>
      </x:c>
      <x:c r="B787" s="18" t="str">
        <x:v>calculadora ptu</x:v>
      </x:c>
      <x:c r="C787" s="19" t="n">
        <x:v>880</x:v>
      </x:c>
      <x:c r="D787" s="18" t="str">
        <x:v>Sí</x:v>
      </x:c>
      <x:c r="E787" s="18" t="str">
        <x:v>2025-10 / 2026-09</x:v>
      </x:c>
      <x:c r="F787" s="18" t="str">
        <x:v>Global · sin filtro de idioma</x:v>
      </x:c>
      <x:c r="G787" s="18" t="str">
        <x:v>search_volume</x:v>
      </x:c>
      <x:c r="H787" s="18" t="str">
        <x:v>global-candidates.json</x:v>
      </x:c>
      <x:c r="I787" s="18" t="str">
        <x:v>10181909-1949-0367-0000-d6f424f63198</x:v>
      </x:c>
      <x:c r="J787" s="18" t="str">
        <x:v>No</x:v>
      </x:c>
    </x:row>
    <x:row r="788" ht="34" customHeight="1">
      <x:c r="A788" s="18" t="str">
        <x:v>mexico-profit-sharing</x:v>
      </x:c>
      <x:c r="B788" s="18" t="str">
        <x:v>calculo ptu</x:v>
      </x:c>
      <x:c r="C788" s="19" t="n">
        <x:v>880</x:v>
      </x:c>
      <x:c r="D788" s="18" t="str">
        <x:v>No</x:v>
      </x:c>
      <x:c r="E788" s="18" t="str">
        <x:v>2025-10 / 2026-09</x:v>
      </x:c>
      <x:c r="F788" s="18" t="str">
        <x:v>Global · sin filtro de idioma</x:v>
      </x:c>
      <x:c r="G788" s="18" t="str">
        <x:v>search_volume</x:v>
      </x:c>
      <x:c r="H788" s="18" t="str">
        <x:v>global-candidates.json</x:v>
      </x:c>
      <x:c r="I788" s="18" t="str">
        <x:v>10181909-1949-0367-0000-d6f424f63198</x:v>
      </x:c>
      <x:c r="J788" s="18" t="str">
        <x:v>No</x:v>
      </x:c>
    </x:row>
    <x:row r="789" ht="34" customHeight="1">
      <x:c r="A789" s="18" t="str">
        <x:v>mexico-profit-sharing</x:v>
      </x:c>
      <x:c r="B789" s="18" t="str">
        <x:v>reparto utilidades calculadora</x:v>
      </x:c>
      <x:c r="C789" s="19" t="str">
        <x:v>n.a.</x:v>
      </x:c>
      <x:c r="D789" s="18" t="str">
        <x:v>No</x:v>
      </x:c>
      <x:c r="E789" s="18" t="str">
        <x:v>n.a.</x:v>
      </x:c>
      <x:c r="F789" s="18" t="str">
        <x:v>Global · sin filtro de idioma</x:v>
      </x:c>
      <x:c r="G789" s="18" t="str">
        <x:v>search_volume</x:v>
      </x:c>
      <x:c r="H789" s="18" t="str">
        <x:v>global-candidates.json</x:v>
      </x:c>
      <x:c r="I789" s="18" t="str">
        <x:v>10181909-1949-0367-0000-d6f424f63198</x:v>
      </x:c>
      <x:c r="J789" s="18" t="str">
        <x:v>No</x:v>
      </x:c>
    </x:row>
    <x:row r="790" ht="34" customHeight="1">
      <x:c r="A790" s="18" t="str">
        <x:v>mexico-aguinaldo</x:v>
      </x:c>
      <x:c r="B790" s="18" t="str">
        <x:v>calculadora aguinaldo</x:v>
      </x:c>
      <x:c r="C790" s="19" t="n">
        <x:v>27100</x:v>
      </x:c>
      <x:c r="D790" s="18" t="str">
        <x:v>Sí</x:v>
      </x:c>
      <x:c r="E790" s="18" t="str">
        <x:v>2025-10 / 2026-09</x:v>
      </x:c>
      <x:c r="F790" s="18" t="str">
        <x:v>Global · sin filtro de idioma</x:v>
      </x:c>
      <x:c r="G790" s="18" t="str">
        <x:v>search_volume</x:v>
      </x:c>
      <x:c r="H790" s="18" t="str">
        <x:v>global-candidates.json</x:v>
      </x:c>
      <x:c r="I790" s="18" t="str">
        <x:v>10181909-1949-0367-0000-d6f424f63198</x:v>
      </x:c>
      <x:c r="J790" s="18" t="str">
        <x:v>No</x:v>
      </x:c>
    </x:row>
    <x:row r="791" ht="34" customHeight="1">
      <x:c r="A791" s="18" t="str">
        <x:v>mexico-aguinaldo</x:v>
      </x:c>
      <x:c r="B791" s="18" t="str">
        <x:v>calcular aguinaldo</x:v>
      </x:c>
      <x:c r="C791" s="19" t="n">
        <x:v>27100</x:v>
      </x:c>
      <x:c r="D791" s="18" t="str">
        <x:v>No</x:v>
      </x:c>
      <x:c r="E791" s="18" t="str">
        <x:v>2025-10 / 2026-09</x:v>
      </x:c>
      <x:c r="F791" s="18" t="str">
        <x:v>Global · sin filtro de idioma</x:v>
      </x:c>
      <x:c r="G791" s="18" t="str">
        <x:v>search_volume</x:v>
      </x:c>
      <x:c r="H791" s="18" t="str">
        <x:v>global-candidates.json</x:v>
      </x:c>
      <x:c r="I791" s="18" t="str">
        <x:v>10181909-1949-0367-0000-d6f424f63198</x:v>
      </x:c>
      <x:c r="J791" s="18" t="str">
        <x:v>No</x:v>
      </x:c>
    </x:row>
    <x:row r="792" ht="34" customHeight="1">
      <x:c r="A792" s="18" t="str">
        <x:v>mexico-aguinaldo</x:v>
      </x:c>
      <x:c r="B792" s="18" t="str">
        <x:v>aguinaldo calculator</x:v>
      </x:c>
      <x:c r="C792" s="19" t="n">
        <x:v>50</x:v>
      </x:c>
      <x:c r="D792" s="18" t="str">
        <x:v>No</x:v>
      </x:c>
      <x:c r="E792" s="18" t="str">
        <x:v>2025-10 / 2026-09</x:v>
      </x:c>
      <x:c r="F792" s="18" t="str">
        <x:v>Global · sin filtro de idioma</x:v>
      </x:c>
      <x:c r="G792" s="18" t="str">
        <x:v>search_volume</x:v>
      </x:c>
      <x:c r="H792" s="18" t="str">
        <x:v>global-candidates.json</x:v>
      </x:c>
      <x:c r="I792" s="18" t="str">
        <x:v>10181909-1949-0367-0000-d6f424f63198</x:v>
      </x:c>
      <x:c r="J792" s="18" t="str">
        <x:v>No</x:v>
      </x:c>
    </x:row>
    <x:row r="793" ht="34" customHeight="1">
      <x:c r="A793" s="18" t="str">
        <x:v>canada-payroll</x:v>
      </x:c>
      <x:c r="B793" s="18" t="str">
        <x:v>salary calculator canada</x:v>
      </x:c>
      <x:c r="C793" s="19" t="n">
        <x:v>5400</x:v>
      </x:c>
      <x:c r="D793" s="18" t="str">
        <x:v>No</x:v>
      </x:c>
      <x:c r="E793" s="18" t="str">
        <x:v>2025-10 / 2026-09</x:v>
      </x:c>
      <x:c r="F793" s="18" t="str">
        <x:v>Global · sin filtro de idioma</x:v>
      </x:c>
      <x:c r="G793" s="18" t="str">
        <x:v>search_volume</x:v>
      </x:c>
      <x:c r="H793" s="18" t="str">
        <x:v>global-candidates.json</x:v>
      </x:c>
      <x:c r="I793" s="18" t="str">
        <x:v>10181909-1949-0367-0000-d6f424f63198</x:v>
      </x:c>
      <x:c r="J793" s="18" t="str">
        <x:v>No</x:v>
      </x:c>
    </x:row>
    <x:row r="794" ht="34" customHeight="1">
      <x:c r="A794" s="18" t="str">
        <x:v>canada-payroll</x:v>
      </x:c>
      <x:c r="B794" s="18" t="str">
        <x:v>payroll calculator canada</x:v>
      </x:c>
      <x:c r="C794" s="19" t="n">
        <x:v>6600</x:v>
      </x:c>
      <x:c r="D794" s="18" t="str">
        <x:v>Sí</x:v>
      </x:c>
      <x:c r="E794" s="18" t="str">
        <x:v>2025-10 / 2026-09</x:v>
      </x:c>
      <x:c r="F794" s="18" t="str">
        <x:v>Global · sin filtro de idioma</x:v>
      </x:c>
      <x:c r="G794" s="18" t="str">
        <x:v>search_volume</x:v>
      </x:c>
      <x:c r="H794" s="18" t="str">
        <x:v>global-candidates.json</x:v>
      </x:c>
      <x:c r="I794" s="18" t="str">
        <x:v>10181909-1949-0367-0000-d6f424f63198</x:v>
      </x:c>
      <x:c r="J794" s="18" t="str">
        <x:v>No</x:v>
      </x:c>
    </x:row>
    <x:row r="795" ht="34" customHeight="1">
      <x:c r="A795" s="18" t="str">
        <x:v>canada-payroll</x:v>
      </x:c>
      <x:c r="B795" s="18" t="str">
        <x:v>take home pay canada</x:v>
      </x:c>
      <x:c r="C795" s="19" t="n">
        <x:v>170</x:v>
      </x:c>
      <x:c r="D795" s="18" t="str">
        <x:v>No</x:v>
      </x:c>
      <x:c r="E795" s="18" t="str">
        <x:v>2025-10 / 2026-09</x:v>
      </x:c>
      <x:c r="F795" s="18" t="str">
        <x:v>Global · sin filtro de idioma</x:v>
      </x:c>
      <x:c r="G795" s="18" t="str">
        <x:v>search_volume</x:v>
      </x:c>
      <x:c r="H795" s="18" t="str">
        <x:v>global-candidates.json</x:v>
      </x:c>
      <x:c r="I795" s="18" t="str">
        <x:v>10181909-1949-0367-0000-d6f424f63198</x:v>
      </x:c>
      <x:c r="J795" s="18" t="str">
        <x:v>No</x:v>
      </x:c>
    </x:row>
    <x:row r="796" ht="34" customHeight="1">
      <x:c r="A796" s="18" t="str">
        <x:v>australia-income-tax</x:v>
      </x:c>
      <x:c r="B796" s="18" t="str">
        <x:v>tax calculator australia</x:v>
      </x:c>
      <x:c r="C796" s="19" t="n">
        <x:v>49500</x:v>
      </x:c>
      <x:c r="D796" s="18" t="str">
        <x:v>Sí</x:v>
      </x:c>
      <x:c r="E796" s="18" t="str">
        <x:v>2025-10 / 2026-09</x:v>
      </x:c>
      <x:c r="F796" s="18" t="str">
        <x:v>Global · sin filtro de idioma</x:v>
      </x:c>
      <x:c r="G796" s="18" t="str">
        <x:v>search_volume</x:v>
      </x:c>
      <x:c r="H796" s="18" t="str">
        <x:v>global-candidates.json</x:v>
      </x:c>
      <x:c r="I796" s="18" t="str">
        <x:v>10181909-1949-0367-0000-d6f424f63198</x:v>
      </x:c>
      <x:c r="J796" s="18" t="str">
        <x:v>No</x:v>
      </x:c>
    </x:row>
    <x:row r="797" ht="34" customHeight="1">
      <x:c r="A797" s="18" t="str">
        <x:v>australia-income-tax</x:v>
      </x:c>
      <x:c r="B797" s="18" t="str">
        <x:v>pay calculator australia</x:v>
      </x:c>
      <x:c r="C797" s="19" t="n">
        <x:v>49500</x:v>
      </x:c>
      <x:c r="D797" s="18" t="str">
        <x:v>No</x:v>
      </x:c>
      <x:c r="E797" s="18" t="str">
        <x:v>2025-10 / 2026-09</x:v>
      </x:c>
      <x:c r="F797" s="18" t="str">
        <x:v>Global · sin filtro de idioma</x:v>
      </x:c>
      <x:c r="G797" s="18" t="str">
        <x:v>search_volume</x:v>
      </x:c>
      <x:c r="H797" s="18" t="str">
        <x:v>global-candidates.json</x:v>
      </x:c>
      <x:c r="I797" s="18" t="str">
        <x:v>10181909-1949-0367-0000-d6f424f63198</x:v>
      </x:c>
      <x:c r="J797" s="18" t="str">
        <x:v>No</x:v>
      </x:c>
    </x:row>
    <x:row r="798" ht="34" customHeight="1">
      <x:c r="A798" s="18" t="str">
        <x:v>australia-income-tax</x:v>
      </x:c>
      <x:c r="B798" s="18" t="str">
        <x:v>income tax calculator australia</x:v>
      </x:c>
      <x:c r="C798" s="19" t="n">
        <x:v>22200</x:v>
      </x:c>
      <x:c r="D798" s="18" t="str">
        <x:v>No</x:v>
      </x:c>
      <x:c r="E798" s="18" t="str">
        <x:v>2025-10 / 2026-09</x:v>
      </x:c>
      <x:c r="F798" s="18" t="str">
        <x:v>Global · sin filtro de idioma</x:v>
      </x:c>
      <x:c r="G798" s="18" t="str">
        <x:v>search_volume</x:v>
      </x:c>
      <x:c r="H798" s="18" t="str">
        <x:v>global-candidates.json</x:v>
      </x:c>
      <x:c r="I798" s="18" t="str">
        <x:v>10181909-1949-0367-0000-d6f424f63198</x:v>
      </x:c>
      <x:c r="J798" s="18" t="str">
        <x:v>No</x:v>
      </x:c>
    </x:row>
    <x:row r="799" ht="34" customHeight="1">
      <x:c r="A799" s="18" t="str">
        <x:v>japan-income-tax</x:v>
      </x:c>
      <x:c r="B799" s="18" t="str">
        <x:v>所得税 計算</x:v>
      </x:c>
      <x:c r="C799" s="19" t="n">
        <x:v>90500</x:v>
      </x:c>
      <x:c r="D799" s="18" t="str">
        <x:v>Sí</x:v>
      </x:c>
      <x:c r="E799" s="18" t="str">
        <x:v>2025-10 / 2026-09</x:v>
      </x:c>
      <x:c r="F799" s="18" t="str">
        <x:v>Global · sin filtro de idioma</x:v>
      </x:c>
      <x:c r="G799" s="18" t="str">
        <x:v>search_volume</x:v>
      </x:c>
      <x:c r="H799" s="18" t="str">
        <x:v>global-candidates.json</x:v>
      </x:c>
      <x:c r="I799" s="18" t="str">
        <x:v>10181909-1949-0367-0000-d6f424f63198</x:v>
      </x:c>
      <x:c r="J799" s="18" t="str">
        <x:v>No</x:v>
      </x:c>
    </x:row>
    <x:row r="800" ht="34" customHeight="1">
      <x:c r="A800" s="18" t="str">
        <x:v>japan-income-tax</x:v>
      </x:c>
      <x:c r="B800" s="18" t="str">
        <x:v>住民税 計算</x:v>
      </x:c>
      <x:c r="C800" s="19" t="n">
        <x:v>60500</x:v>
      </x:c>
      <x:c r="D800" s="18" t="str">
        <x:v>No</x:v>
      </x:c>
      <x:c r="E800" s="18" t="str">
        <x:v>2025-10 / 2026-09</x:v>
      </x:c>
      <x:c r="F800" s="18" t="str">
        <x:v>Global · sin filtro de idioma</x:v>
      </x:c>
      <x:c r="G800" s="18" t="str">
        <x:v>search_volume</x:v>
      </x:c>
      <x:c r="H800" s="18" t="str">
        <x:v>global-candidates.json</x:v>
      </x:c>
      <x:c r="I800" s="18" t="str">
        <x:v>10181909-1949-0367-0000-d6f424f63198</x:v>
      </x:c>
      <x:c r="J800" s="18" t="str">
        <x:v>No</x:v>
      </x:c>
    </x:row>
    <x:row r="801" ht="34" customHeight="1">
      <x:c r="A801" s="18" t="str">
        <x:v>japan-income-tax</x:v>
      </x:c>
      <x:c r="B801" s="18" t="str">
        <x:v>japan income tax calculator</x:v>
      </x:c>
      <x:c r="C801" s="19" t="n">
        <x:v>1000</x:v>
      </x:c>
      <x:c r="D801" s="18" t="str">
        <x:v>No</x:v>
      </x:c>
      <x:c r="E801" s="18" t="str">
        <x:v>2025-10 / 2026-09</x:v>
      </x:c>
      <x:c r="F801" s="18" t="str">
        <x:v>Global · sin filtro de idioma</x:v>
      </x:c>
      <x:c r="G801" s="18" t="str">
        <x:v>search_volume</x:v>
      </x:c>
      <x:c r="H801" s="18" t="str">
        <x:v>global-candidates.json</x:v>
      </x:c>
      <x:c r="I801" s="18" t="str">
        <x:v>10181909-1949-0367-0000-d6f424f63198</x:v>
      </x:c>
      <x:c r="J801" s="18" t="str">
        <x:v>No</x:v>
      </x:c>
    </x:row>
    <x:row r="802" ht="34" customHeight="1">
      <x:c r="A802" s="18" t="str">
        <x:v>korea-net-salary</x:v>
      </x:c>
      <x:c r="B802" s="18" t="str">
        <x:v>연봉계산기</x:v>
      </x:c>
      <x:c r="C802" s="19" t="n">
        <x:v>22200</x:v>
      </x:c>
      <x:c r="D802" s="18" t="str">
        <x:v>Sí</x:v>
      </x:c>
      <x:c r="E802" s="18" t="str">
        <x:v>2025-10 / 2026-09</x:v>
      </x:c>
      <x:c r="F802" s="18" t="str">
        <x:v>Global · sin filtro de idioma</x:v>
      </x:c>
      <x:c r="G802" s="18" t="str">
        <x:v>search_volume</x:v>
      </x:c>
      <x:c r="H802" s="18" t="str">
        <x:v>global-candidates.json</x:v>
      </x:c>
      <x:c r="I802" s="18" t="str">
        <x:v>10181909-1949-0367-0000-d6f424f63198</x:v>
      </x:c>
      <x:c r="J802" s="18" t="str">
        <x:v>No</x:v>
      </x:c>
    </x:row>
    <x:row r="803" ht="34" customHeight="1">
      <x:c r="A803" s="18" t="str">
        <x:v>korea-net-salary</x:v>
      </x:c>
      <x:c r="B803" s="18" t="str">
        <x:v>실수령액 계산기</x:v>
      </x:c>
      <x:c r="C803" s="19" t="n">
        <x:v>12100</x:v>
      </x:c>
      <x:c r="D803" s="18" t="str">
        <x:v>No</x:v>
      </x:c>
      <x:c r="E803" s="18" t="str">
        <x:v>2025-10 / 2026-09</x:v>
      </x:c>
      <x:c r="F803" s="18" t="str">
        <x:v>Global · sin filtro de idioma</x:v>
      </x:c>
      <x:c r="G803" s="18" t="str">
        <x:v>search_volume</x:v>
      </x:c>
      <x:c r="H803" s="18" t="str">
        <x:v>global-candidates.json</x:v>
      </x:c>
      <x:c r="I803" s="18" t="str">
        <x:v>10181909-1949-0367-0000-d6f424f63198</x:v>
      </x:c>
      <x:c r="J803" s="18" t="str">
        <x:v>No</x:v>
      </x:c>
    </x:row>
    <x:row r="804" ht="34" customHeight="1">
      <x:c r="A804" s="18" t="str">
        <x:v>korea-net-salary</x:v>
      </x:c>
      <x:c r="B804" s="18" t="str">
        <x:v>korea salary calculator</x:v>
      </x:c>
      <x:c r="C804" s="19" t="n">
        <x:v>40</x:v>
      </x:c>
      <x:c r="D804" s="18" t="str">
        <x:v>No</x:v>
      </x:c>
      <x:c r="E804" s="18" t="str">
        <x:v>2025-10 / 2026-09</x:v>
      </x:c>
      <x:c r="F804" s="18" t="str">
        <x:v>Global · sin filtro de idioma</x:v>
      </x:c>
      <x:c r="G804" s="18" t="str">
        <x:v>search_volume</x:v>
      </x:c>
      <x:c r="H804" s="18" t="str">
        <x:v>global-candidates.json</x:v>
      </x:c>
      <x:c r="I804" s="18" t="str">
        <x:v>10181909-1949-0367-0000-d6f424f63198</x:v>
      </x:c>
      <x:c r="J804" s="18" t="str">
        <x:v>No</x:v>
      </x:c>
    </x:row>
    <x:row r="805" ht="34" customHeight="1">
      <x:c r="A805" s="18" t="str">
        <x:v>china-individual-income-tax</x:v>
      </x:c>
      <x:c r="B805" s="18" t="str">
        <x:v>个税计算器</x:v>
      </x:c>
      <x:c r="C805" s="19" t="n">
        <x:v>4400</x:v>
      </x:c>
      <x:c r="D805" s="18" t="str">
        <x:v>Sí</x:v>
      </x:c>
      <x:c r="E805" s="18" t="str">
        <x:v>2025-10 / 2026-09</x:v>
      </x:c>
      <x:c r="F805" s="18" t="str">
        <x:v>Global · sin filtro de idioma</x:v>
      </x:c>
      <x:c r="G805" s="18" t="str">
        <x:v>keywords_for_keywords</x:v>
      </x:c>
      <x:c r="H805" s="18" t="str">
        <x:v>discovery-multilingual-asia.json</x:v>
      </x:c>
      <x:c r="I805" s="18" t="str">
        <x:v>10181858-1949-0368-0000-0204bec9b205</x:v>
      </x:c>
      <x:c r="J805" s="18" t="str">
        <x:v>No</x:v>
      </x:c>
    </x:row>
    <x:row r="806" ht="34" customHeight="1">
      <x:c r="A806" s="18" t="str">
        <x:v>china-individual-income-tax</x:v>
      </x:c>
      <x:c r="B806" s="18" t="str">
        <x:v>个人所得税计算器</x:v>
      </x:c>
      <x:c r="C806" s="19" t="n">
        <x:v>4400</x:v>
      </x:c>
      <x:c r="D806" s="18" t="str">
        <x:v>No</x:v>
      </x:c>
      <x:c r="E806" s="18" t="str">
        <x:v>2025-10 / 2026-09</x:v>
      </x:c>
      <x:c r="F806" s="18" t="str">
        <x:v>Global · sin filtro de idioma</x:v>
      </x:c>
      <x:c r="G806" s="18" t="str">
        <x:v>search_volume</x:v>
      </x:c>
      <x:c r="H806" s="18" t="str">
        <x:v>global-candidates.json</x:v>
      </x:c>
      <x:c r="I806" s="18" t="str">
        <x:v>10181909-1949-0367-0000-d6f424f63198</x:v>
      </x:c>
      <x:c r="J806" s="18" t="str">
        <x:v>No</x:v>
      </x:c>
    </x:row>
    <x:row r="807" ht="34" customHeight="1">
      <x:c r="A807" s="18" t="str">
        <x:v>china-individual-income-tax</x:v>
      </x:c>
      <x:c r="B807" s="18" t="str">
        <x:v>china income tax calculator</x:v>
      </x:c>
      <x:c r="C807" s="19" t="n">
        <x:v>260</x:v>
      </x:c>
      <x:c r="D807" s="18" t="str">
        <x:v>No</x:v>
      </x:c>
      <x:c r="E807" s="18" t="str">
        <x:v>2025-10 / 2026-09</x:v>
      </x:c>
      <x:c r="F807" s="18" t="str">
        <x:v>Global · sin filtro de idioma</x:v>
      </x:c>
      <x:c r="G807" s="18" t="str">
        <x:v>search_volume</x:v>
      </x:c>
      <x:c r="H807" s="18" t="str">
        <x:v>global-candidates.json</x:v>
      </x:c>
      <x:c r="I807" s="18" t="str">
        <x:v>10181909-1949-0367-0000-d6f424f63198</x:v>
      </x:c>
      <x:c r="J807" s="18" t="str">
        <x:v>No</x:v>
      </x:c>
    </x:row>
    <x:row r="808" ht="34" customHeight="1">
      <x:c r="A808" s="18" t="str">
        <x:v>taiwan-income-tax</x:v>
      </x:c>
      <x:c r="B808" s="18" t="str">
        <x:v>所得稅試算</x:v>
      </x:c>
      <x:c r="C808" s="19" t="n">
        <x:v>27100</x:v>
      </x:c>
      <x:c r="D808" s="18" t="str">
        <x:v>Sí</x:v>
      </x:c>
      <x:c r="E808" s="18" t="str">
        <x:v>2025-10 / 2026-09</x:v>
      </x:c>
      <x:c r="F808" s="18" t="str">
        <x:v>Global · sin filtro de idioma</x:v>
      </x:c>
      <x:c r="G808" s="18" t="str">
        <x:v>search_volume</x:v>
      </x:c>
      <x:c r="H808" s="18" t="str">
        <x:v>global-candidates.json</x:v>
      </x:c>
      <x:c r="I808" s="18" t="str">
        <x:v>10181909-1949-0367-0000-d6f424f63198</x:v>
      </x:c>
      <x:c r="J808" s="18" t="str">
        <x:v>No</x:v>
      </x:c>
    </x:row>
    <x:row r="809" ht="34" customHeight="1">
      <x:c r="A809" s="18" t="str">
        <x:v>taiwan-income-tax</x:v>
      </x:c>
      <x:c r="B809" s="18" t="str">
        <x:v>綜合所得稅試算</x:v>
      </x:c>
      <x:c r="C809" s="19" t="n">
        <x:v>4400</x:v>
      </x:c>
      <x:c r="D809" s="18" t="str">
        <x:v>No</x:v>
      </x:c>
      <x:c r="E809" s="18" t="str">
        <x:v>2025-10 / 2026-09</x:v>
      </x:c>
      <x:c r="F809" s="18" t="str">
        <x:v>Global · sin filtro de idioma</x:v>
      </x:c>
      <x:c r="G809" s="18" t="str">
        <x:v>search_volume</x:v>
      </x:c>
      <x:c r="H809" s="18" t="str">
        <x:v>global-candidates.json</x:v>
      </x:c>
      <x:c r="I809" s="18" t="str">
        <x:v>10181909-1949-0367-0000-d6f424f63198</x:v>
      </x:c>
      <x:c r="J809" s="18" t="str">
        <x:v>No</x:v>
      </x:c>
    </x:row>
    <x:row r="810" ht="34" customHeight="1">
      <x:c r="A810" s="18" t="str">
        <x:v>taiwan-income-tax</x:v>
      </x:c>
      <x:c r="B810" s="18" t="str">
        <x:v>taiwan income tax calculator</x:v>
      </x:c>
      <x:c r="C810" s="19" t="n">
        <x:v>90</x:v>
      </x:c>
      <x:c r="D810" s="18" t="str">
        <x:v>No</x:v>
      </x:c>
      <x:c r="E810" s="18" t="str">
        <x:v>2025-10 / 2026-09</x:v>
      </x:c>
      <x:c r="F810" s="18" t="str">
        <x:v>Global · sin filtro de idioma</x:v>
      </x:c>
      <x:c r="G810" s="18" t="str">
        <x:v>search_volume</x:v>
      </x:c>
      <x:c r="H810" s="18" t="str">
        <x:v>global-candidates.json</x:v>
      </x:c>
      <x:c r="I810" s="18" t="str">
        <x:v>10181909-1949-0367-0000-d6f424f63198</x:v>
      </x:c>
      <x:c r="J810" s="18" t="str">
        <x:v>No</x:v>
      </x:c>
    </x:row>
    <x:row r="811" ht="34" customHeight="1">
      <x:c r="A811" s="18" t="str">
        <x:v>indonesia-pph21</x:v>
      </x:c>
      <x:c r="B811" s="18" t="str">
        <x:v>kalkulator pph 21</x:v>
      </x:c>
      <x:c r="C811" s="19" t="n">
        <x:v>5400</x:v>
      </x:c>
      <x:c r="D811" s="18" t="str">
        <x:v>Sí</x:v>
      </x:c>
      <x:c r="E811" s="18" t="str">
        <x:v>2025-10 / 2026-09</x:v>
      </x:c>
      <x:c r="F811" s="18" t="str">
        <x:v>Global · sin filtro de idioma</x:v>
      </x:c>
      <x:c r="G811" s="18" t="str">
        <x:v>search_volume</x:v>
      </x:c>
      <x:c r="H811" s="18" t="str">
        <x:v>global-candidates.json</x:v>
      </x:c>
      <x:c r="I811" s="18" t="str">
        <x:v>10181909-1949-0367-0000-d6f424f63198</x:v>
      </x:c>
      <x:c r="J811" s="18" t="str">
        <x:v>No</x:v>
      </x:c>
    </x:row>
    <x:row r="812" ht="34" customHeight="1">
      <x:c r="A812" s="18" t="str">
        <x:v>indonesia-pph21</x:v>
      </x:c>
      <x:c r="B812" s="18" t="str">
        <x:v>pph 21 calculator</x:v>
      </x:c>
      <x:c r="C812" s="19" t="n">
        <x:v>260</x:v>
      </x:c>
      <x:c r="D812" s="18" t="str">
        <x:v>No</x:v>
      </x:c>
      <x:c r="E812" s="18" t="str">
        <x:v>2025-10 / 2026-09</x:v>
      </x:c>
      <x:c r="F812" s="18" t="str">
        <x:v>Global · sin filtro de idioma</x:v>
      </x:c>
      <x:c r="G812" s="18" t="str">
        <x:v>search_volume</x:v>
      </x:c>
      <x:c r="H812" s="18" t="str">
        <x:v>global-candidates.json</x:v>
      </x:c>
      <x:c r="I812" s="18" t="str">
        <x:v>10181909-1949-0367-0000-d6f424f63198</x:v>
      </x:c>
      <x:c r="J812" s="18" t="str">
        <x:v>No</x:v>
      </x:c>
    </x:row>
    <x:row r="813" ht="34" customHeight="1">
      <x:c r="A813" s="18" t="str">
        <x:v>indonesia-pph21</x:v>
      </x:c>
      <x:c r="B813" s="18" t="str">
        <x:v>hitung pph 21</x:v>
      </x:c>
      <x:c r="C813" s="19" t="n">
        <x:v>880</x:v>
      </x:c>
      <x:c r="D813" s="18" t="str">
        <x:v>No</x:v>
      </x:c>
      <x:c r="E813" s="18" t="str">
        <x:v>2025-10 / 2026-09</x:v>
      </x:c>
      <x:c r="F813" s="18" t="str">
        <x:v>Global · sin filtro de idioma</x:v>
      </x:c>
      <x:c r="G813" s="18" t="str">
        <x:v>search_volume</x:v>
      </x:c>
      <x:c r="H813" s="18" t="str">
        <x:v>global-candidates.json</x:v>
      </x:c>
      <x:c r="I813" s="18" t="str">
        <x:v>10181909-1949-0367-0000-d6f424f63198</x:v>
      </x:c>
      <x:c r="J813" s="18" t="str">
        <x:v>No</x:v>
      </x:c>
    </x:row>
    <x:row r="814" ht="34" customHeight="1">
      <x:c r="A814" s="18" t="str">
        <x:v>philippines-sss</x:v>
      </x:c>
      <x:c r="B814" s="18" t="str">
        <x:v>sss contribution calculator</x:v>
      </x:c>
      <x:c r="C814" s="19" t="n">
        <x:v>5400</x:v>
      </x:c>
      <x:c r="D814" s="18" t="str">
        <x:v>No</x:v>
      </x:c>
      <x:c r="E814" s="18" t="str">
        <x:v>2025-10 / 2026-09</x:v>
      </x:c>
      <x:c r="F814" s="18" t="str">
        <x:v>Global · sin filtro de idioma</x:v>
      </x:c>
      <x:c r="G814" s="18" t="str">
        <x:v>search_volume</x:v>
      </x:c>
      <x:c r="H814" s="18" t="str">
        <x:v>global-candidates.json</x:v>
      </x:c>
      <x:c r="I814" s="18" t="str">
        <x:v>10181909-1949-0367-0000-d6f424f63198</x:v>
      </x:c>
      <x:c r="J814" s="18" t="str">
        <x:v>No</x:v>
      </x:c>
    </x:row>
    <x:row r="815" ht="34" customHeight="1">
      <x:c r="A815" s="18" t="str">
        <x:v>philippines-sss</x:v>
      </x:c>
      <x:c r="B815" s="18" t="str">
        <x:v>sss contribution table</x:v>
      </x:c>
      <x:c r="C815" s="19" t="n">
        <x:v>8100</x:v>
      </x:c>
      <x:c r="D815" s="18" t="str">
        <x:v>Sí</x:v>
      </x:c>
      <x:c r="E815" s="18" t="str">
        <x:v>2025-10 / 2026-09</x:v>
      </x:c>
      <x:c r="F815" s="18" t="str">
        <x:v>Global · sin filtro de idioma</x:v>
      </x:c>
      <x:c r="G815" s="18" t="str">
        <x:v>search_volume</x:v>
      </x:c>
      <x:c r="H815" s="18" t="str">
        <x:v>global-candidates.json</x:v>
      </x:c>
      <x:c r="I815" s="18" t="str">
        <x:v>10181909-1949-0367-0000-d6f424f63198</x:v>
      </x:c>
      <x:c r="J815" s="18" t="str">
        <x:v>No</x:v>
      </x:c>
    </x:row>
    <x:row r="816" ht="34" customHeight="1">
      <x:c r="A816" s="18" t="str">
        <x:v>philippines-sss</x:v>
      </x:c>
      <x:c r="B816" s="18" t="str">
        <x:v>sss calculator</x:v>
      </x:c>
      <x:c r="C816" s="19" t="n">
        <x:v>5400</x:v>
      </x:c>
      <x:c r="D816" s="18" t="str">
        <x:v>No</x:v>
      </x:c>
      <x:c r="E816" s="18" t="str">
        <x:v>2025-10 / 2026-09</x:v>
      </x:c>
      <x:c r="F816" s="18" t="str">
        <x:v>Global · sin filtro de idioma</x:v>
      </x:c>
      <x:c r="G816" s="18" t="str">
        <x:v>search_volume</x:v>
      </x:c>
      <x:c r="H816" s="18" t="str">
        <x:v>global-candidates.json</x:v>
      </x:c>
      <x:c r="I816" s="18" t="str">
        <x:v>10181909-1949-0367-0000-d6f424f63198</x:v>
      </x:c>
      <x:c r="J816" s="18" t="str">
        <x:v>No</x:v>
      </x:c>
    </x:row>
    <x:row r="817" ht="34" customHeight="1">
      <x:c r="A817" s="18" t="str">
        <x:v>malaysia-epf</x:v>
      </x:c>
      <x:c r="B817" s="18" t="str">
        <x:v>kwsp calculator</x:v>
      </x:c>
      <x:c r="C817" s="19" t="n">
        <x:v>9900</x:v>
      </x:c>
      <x:c r="D817" s="18" t="str">
        <x:v>Sí</x:v>
      </x:c>
      <x:c r="E817" s="18" t="str">
        <x:v>2025-10 / 2026-09</x:v>
      </x:c>
      <x:c r="F817" s="18" t="str">
        <x:v>Global · sin filtro de idioma</x:v>
      </x:c>
      <x:c r="G817" s="18" t="str">
        <x:v>search_volume</x:v>
      </x:c>
      <x:c r="H817" s="18" t="str">
        <x:v>global-candidates.json</x:v>
      </x:c>
      <x:c r="I817" s="18" t="str">
        <x:v>10181909-1949-0367-0000-d6f424f63198</x:v>
      </x:c>
      <x:c r="J817" s="18" t="str">
        <x:v>No</x:v>
      </x:c>
    </x:row>
    <x:row r="818" ht="34" customHeight="1">
      <x:c r="A818" s="18" t="str">
        <x:v>malaysia-epf</x:v>
      </x:c>
      <x:c r="B818" s="18" t="str">
        <x:v>epf calculator malaysia</x:v>
      </x:c>
      <x:c r="C818" s="19" t="n">
        <x:v>9900</x:v>
      </x:c>
      <x:c r="D818" s="18" t="str">
        <x:v>No</x:v>
      </x:c>
      <x:c r="E818" s="18" t="str">
        <x:v>2025-10 / 2026-09</x:v>
      </x:c>
      <x:c r="F818" s="18" t="str">
        <x:v>Global · sin filtro de idioma</x:v>
      </x:c>
      <x:c r="G818" s="18" t="str">
        <x:v>search_volume</x:v>
      </x:c>
      <x:c r="H818" s="18" t="str">
        <x:v>global-candidates.json</x:v>
      </x:c>
      <x:c r="I818" s="18" t="str">
        <x:v>10181909-1949-0367-0000-d6f424f63198</x:v>
      </x:c>
      <x:c r="J818" s="18" t="str">
        <x:v>No</x:v>
      </x:c>
    </x:row>
    <x:row r="819" ht="34" customHeight="1">
      <x:c r="A819" s="18" t="str">
        <x:v>malaysia-epf</x:v>
      </x:c>
      <x:c r="B819" s="18" t="str">
        <x:v>kalkulator kwsp</x:v>
      </x:c>
      <x:c r="C819" s="19" t="n">
        <x:v>1000</x:v>
      </x:c>
      <x:c r="D819" s="18" t="str">
        <x:v>No</x:v>
      </x:c>
      <x:c r="E819" s="18" t="str">
        <x:v>2025-10 / 2026-09</x:v>
      </x:c>
      <x:c r="F819" s="18" t="str">
        <x:v>Global · sin filtro de idioma</x:v>
      </x:c>
      <x:c r="G819" s="18" t="str">
        <x:v>search_volume</x:v>
      </x:c>
      <x:c r="H819" s="18" t="str">
        <x:v>global-candidates.json</x:v>
      </x:c>
      <x:c r="I819" s="18" t="str">
        <x:v>10181909-1949-0367-0000-d6f424f63198</x:v>
      </x:c>
      <x:c r="J819" s="18" t="str">
        <x:v>No</x:v>
      </x:c>
    </x:row>
    <x:row r="820" ht="34" customHeight="1">
      <x:c r="A820" s="18" t="str">
        <x:v>singapore-cpf</x:v>
      </x:c>
      <x:c r="B820" s="18" t="str">
        <x:v>cpf calculator</x:v>
      </x:c>
      <x:c r="C820" s="19" t="n">
        <x:v>27100</x:v>
      </x:c>
      <x:c r="D820" s="18" t="str">
        <x:v>Sí</x:v>
      </x:c>
      <x:c r="E820" s="18" t="str">
        <x:v>2025-10 / 2026-09</x:v>
      </x:c>
      <x:c r="F820" s="18" t="str">
        <x:v>Global · sin filtro de idioma</x:v>
      </x:c>
      <x:c r="G820" s="18" t="str">
        <x:v>search_volume</x:v>
      </x:c>
      <x:c r="H820" s="18" t="str">
        <x:v>global-candidates.json</x:v>
      </x:c>
      <x:c r="I820" s="18" t="str">
        <x:v>10181909-1949-0367-0000-d6f424f63198</x:v>
      </x:c>
      <x:c r="J820" s="18" t="str">
        <x:v>No</x:v>
      </x:c>
    </x:row>
    <x:row r="821" ht="34" customHeight="1">
      <x:c r="A821" s="18" t="str">
        <x:v>singapore-cpf</x:v>
      </x:c>
      <x:c r="B821" s="18" t="str">
        <x:v>cpf contribution calculator</x:v>
      </x:c>
      <x:c r="C821" s="19" t="n">
        <x:v>12100</x:v>
      </x:c>
      <x:c r="D821" s="18" t="str">
        <x:v>No</x:v>
      </x:c>
      <x:c r="E821" s="18" t="str">
        <x:v>2025-10 / 2026-09</x:v>
      </x:c>
      <x:c r="F821" s="18" t="str">
        <x:v>Global · sin filtro de idioma</x:v>
      </x:c>
      <x:c r="G821" s="18" t="str">
        <x:v>search_volume</x:v>
      </x:c>
      <x:c r="H821" s="18" t="str">
        <x:v>global-candidates.json</x:v>
      </x:c>
      <x:c r="I821" s="18" t="str">
        <x:v>10181909-1949-0367-0000-d6f424f63198</x:v>
      </x:c>
      <x:c r="J821" s="18" t="str">
        <x:v>No</x:v>
      </x:c>
    </x:row>
    <x:row r="822" ht="34" customHeight="1">
      <x:c r="A822" s="18" t="str">
        <x:v>singapore-cpf</x:v>
      </x:c>
      <x:c r="B822" s="18" t="str">
        <x:v>cpf contribution</x:v>
      </x:c>
      <x:c r="C822" s="19" t="n">
        <x:v>18100</x:v>
      </x:c>
      <x:c r="D822" s="18" t="str">
        <x:v>No</x:v>
      </x:c>
      <x:c r="E822" s="18" t="str">
        <x:v>2025-10 / 2026-09</x:v>
      </x:c>
      <x:c r="F822" s="18" t="str">
        <x:v>Global · sin filtro de idioma</x:v>
      </x:c>
      <x:c r="G822" s="18" t="str">
        <x:v>search_volume</x:v>
      </x:c>
      <x:c r="H822" s="18" t="str">
        <x:v>global-candidates.json</x:v>
      </x:c>
      <x:c r="I822" s="18" t="str">
        <x:v>10181909-1949-0367-0000-d6f424f63198</x:v>
      </x:c>
      <x:c r="J822" s="18" t="str">
        <x:v>No</x:v>
      </x:c>
    </x:row>
    <x:row r="823" ht="34" customHeight="1">
      <x:c r="A823" s="18" t="str">
        <x:v>france-housing-benefit</x:v>
      </x:c>
      <x:c r="B823" s="18" t="str">
        <x:v>simulation apl</x:v>
      </x:c>
      <x:c r="C823" s="19" t="n">
        <x:v>201000</x:v>
      </x:c>
      <x:c r="D823" s="18" t="str">
        <x:v>Sí</x:v>
      </x:c>
      <x:c r="E823" s="18" t="str">
        <x:v>2025-10 / 2026-09</x:v>
      </x:c>
      <x:c r="F823" s="18" t="str">
        <x:v>Global · sin filtro de idioma</x:v>
      </x:c>
      <x:c r="G823" s="18" t="str">
        <x:v>search_volume</x:v>
      </x:c>
      <x:c r="H823" s="18" t="str">
        <x:v>global-candidates.json</x:v>
      </x:c>
      <x:c r="I823" s="18" t="str">
        <x:v>10181909-1949-0367-0000-d6f424f63198</x:v>
      </x:c>
      <x:c r="J823" s="18" t="str">
        <x:v>No</x:v>
      </x:c>
    </x:row>
    <x:row r="824" ht="34" customHeight="1">
      <x:c r="A824" s="18" t="str">
        <x:v>france-housing-benefit</x:v>
      </x:c>
      <x:c r="B824" s="18" t="str">
        <x:v>simulateur apl</x:v>
      </x:c>
      <x:c r="C824" s="19" t="n">
        <x:v>201000</x:v>
      </x:c>
      <x:c r="D824" s="18" t="str">
        <x:v>No</x:v>
      </x:c>
      <x:c r="E824" s="18" t="str">
        <x:v>2025-10 / 2026-09</x:v>
      </x:c>
      <x:c r="F824" s="18" t="str">
        <x:v>Global · sin filtro de idioma</x:v>
      </x:c>
      <x:c r="G824" s="18" t="str">
        <x:v>search_volume</x:v>
      </x:c>
      <x:c r="H824" s="18" t="str">
        <x:v>global-candidates.json</x:v>
      </x:c>
      <x:c r="I824" s="18" t="str">
        <x:v>10181909-1949-0367-0000-d6f424f63198</x:v>
      </x:c>
      <x:c r="J824" s="18" t="str">
        <x:v>No</x:v>
      </x:c>
    </x:row>
    <x:row r="825" ht="34" customHeight="1">
      <x:c r="A825" s="18" t="str">
        <x:v>france-housing-benefit</x:v>
      </x:c>
      <x:c r="B825" s="18" t="str">
        <x:v>calcul apl</x:v>
      </x:c>
      <x:c r="C825" s="19" t="n">
        <x:v>6600</x:v>
      </x:c>
      <x:c r="D825" s="18" t="str">
        <x:v>No</x:v>
      </x:c>
      <x:c r="E825" s="18" t="str">
        <x:v>2025-10 / 2026-09</x:v>
      </x:c>
      <x:c r="F825" s="18" t="str">
        <x:v>Global · sin filtro de idioma</x:v>
      </x:c>
      <x:c r="G825" s="18" t="str">
        <x:v>search_volume</x:v>
      </x:c>
      <x:c r="H825" s="18" t="str">
        <x:v>global-candidates.json</x:v>
      </x:c>
      <x:c r="I825" s="18" t="str">
        <x:v>10181909-1949-0367-0000-d6f424f63198</x:v>
      </x:c>
      <x:c r="J825" s="18" t="str">
        <x:v>No</x:v>
      </x:c>
    </x:row>
    <x:row r="826" ht="34" customHeight="1">
      <x:c r="A826" s="18" t="str">
        <x:v>germany-unemployment-benefit</x:v>
      </x:c>
      <x:c r="B826" s="18" t="str">
        <x:v>arbeitslosengeld rechner</x:v>
      </x:c>
      <x:c r="C826" s="19" t="n">
        <x:v>60500</x:v>
      </x:c>
      <x:c r="D826" s="18" t="str">
        <x:v>Sí</x:v>
      </x:c>
      <x:c r="E826" s="18" t="str">
        <x:v>2025-10 / 2026-09</x:v>
      </x:c>
      <x:c r="F826" s="18" t="str">
        <x:v>Global · sin filtro de idioma</x:v>
      </x:c>
      <x:c r="G826" s="18" t="str">
        <x:v>search_volume</x:v>
      </x:c>
      <x:c r="H826" s="18" t="str">
        <x:v>global-candidates.json</x:v>
      </x:c>
      <x:c r="I826" s="18" t="str">
        <x:v>10181909-1949-0367-0000-d6f424f63198</x:v>
      </x:c>
      <x:c r="J826" s="18" t="str">
        <x:v>No</x:v>
      </x:c>
    </x:row>
    <x:row r="827" ht="34" customHeight="1">
      <x:c r="A827" s="18" t="str">
        <x:v>germany-unemployment-benefit</x:v>
      </x:c>
      <x:c r="B827" s="18" t="str">
        <x:v>alg 1 rechner</x:v>
      </x:c>
      <x:c r="C827" s="19" t="n">
        <x:v>18100</x:v>
      </x:c>
      <x:c r="D827" s="18" t="str">
        <x:v>No</x:v>
      </x:c>
      <x:c r="E827" s="18" t="str">
        <x:v>2025-10 / 2026-09</x:v>
      </x:c>
      <x:c r="F827" s="18" t="str">
        <x:v>Global · sin filtro de idioma</x:v>
      </x:c>
      <x:c r="G827" s="18" t="str">
        <x:v>search_volume</x:v>
      </x:c>
      <x:c r="H827" s="18" t="str">
        <x:v>global-candidates.json</x:v>
      </x:c>
      <x:c r="I827" s="18" t="str">
        <x:v>10181909-1949-0367-0000-d6f424f63198</x:v>
      </x:c>
      <x:c r="J827" s="18" t="str">
        <x:v>No</x:v>
      </x:c>
    </x:row>
    <x:row r="828" ht="34" customHeight="1">
      <x:c r="A828" s="18" t="str">
        <x:v>germany-unemployment-benefit</x:v>
      </x:c>
      <x:c r="B828" s="18" t="str">
        <x:v>arbeitslosengeld berechnen</x:v>
      </x:c>
      <x:c r="C828" s="19" t="n">
        <x:v>14800</x:v>
      </x:c>
      <x:c r="D828" s="18" t="str">
        <x:v>No</x:v>
      </x:c>
      <x:c r="E828" s="18" t="str">
        <x:v>2025-10 / 2026-09</x:v>
      </x:c>
      <x:c r="F828" s="18" t="str">
        <x:v>Global · sin filtro de idioma</x:v>
      </x:c>
      <x:c r="G828" s="18" t="str">
        <x:v>search_volume</x:v>
      </x:c>
      <x:c r="H828" s="18" t="str">
        <x:v>global-candidates.json</x:v>
      </x:c>
      <x:c r="I828" s="18" t="str">
        <x:v>10181909-1949-0367-0000-d6f424f63198</x:v>
      </x:c>
      <x:c r="J828" s="18" t="str">
        <x:v>No</x:v>
      </x:c>
    </x:row>
    <x:row r="829" ht="34" customHeight="1">
      <x:c r="A829" s="18" t="str">
        <x:v>uk-universal-credit</x:v>
      </x:c>
      <x:c r="B829" s="18" t="str">
        <x:v>universal credit calculator</x:v>
      </x:c>
      <x:c r="C829" s="19" t="n">
        <x:v>49500</x:v>
      </x:c>
      <x:c r="D829" s="18" t="str">
        <x:v>Sí</x:v>
      </x:c>
      <x:c r="E829" s="18" t="str">
        <x:v>2025-10 / 2026-09</x:v>
      </x:c>
      <x:c r="F829" s="18" t="str">
        <x:v>Global · sin filtro de idioma</x:v>
      </x:c>
      <x:c r="G829" s="18" t="str">
        <x:v>search_volume</x:v>
      </x:c>
      <x:c r="H829" s="18" t="str">
        <x:v>global-candidates.json</x:v>
      </x:c>
      <x:c r="I829" s="18" t="str">
        <x:v>10181909-1949-0367-0000-d6f424f63198</x:v>
      </x:c>
      <x:c r="J829" s="18" t="str">
        <x:v>No</x:v>
      </x:c>
    </x:row>
    <x:row r="830" ht="34" customHeight="1">
      <x:c r="A830" s="18" t="str">
        <x:v>uk-universal-credit</x:v>
      </x:c>
      <x:c r="B830" s="18" t="str">
        <x:v>benefits calculator uk</x:v>
      </x:c>
      <x:c r="C830" s="19" t="n">
        <x:v>12100</x:v>
      </x:c>
      <x:c r="D830" s="18" t="str">
        <x:v>No</x:v>
      </x:c>
      <x:c r="E830" s="18" t="str">
        <x:v>2025-10 / 2026-09</x:v>
      </x:c>
      <x:c r="F830" s="18" t="str">
        <x:v>Global · sin filtro de idioma</x:v>
      </x:c>
      <x:c r="G830" s="18" t="str">
        <x:v>search_volume</x:v>
      </x:c>
      <x:c r="H830" s="18" t="str">
        <x:v>global-candidates.json</x:v>
      </x:c>
      <x:c r="I830" s="18" t="str">
        <x:v>10181909-1949-0367-0000-d6f424f63198</x:v>
      </x:c>
      <x:c r="J830" s="18" t="str">
        <x:v>No</x:v>
      </x:c>
    </x:row>
    <x:row r="831" ht="34" customHeight="1">
      <x:c r="A831" s="18" t="str">
        <x:v>uk-universal-credit</x:v>
      </x:c>
      <x:c r="B831" s="18" t="str">
        <x:v>calculate universal credit</x:v>
      </x:c>
      <x:c r="C831" s="19" t="n">
        <x:v>49500</x:v>
      </x:c>
      <x:c r="D831" s="18" t="str">
        <x:v>No</x:v>
      </x:c>
      <x:c r="E831" s="18" t="str">
        <x:v>2025-10 / 2026-09</x:v>
      </x:c>
      <x:c r="F831" s="18" t="str">
        <x:v>Global · sin filtro de idioma</x:v>
      </x:c>
      <x:c r="G831" s="18" t="str">
        <x:v>search_volume</x:v>
      </x:c>
      <x:c r="H831" s="18" t="str">
        <x:v>global-candidates.json</x:v>
      </x:c>
      <x:c r="I831" s="18" t="str">
        <x:v>10181909-1949-0367-0000-d6f424f63198</x:v>
      </x:c>
      <x:c r="J831" s="18" t="str">
        <x:v>No</x:v>
      </x:c>
    </x:row>
    <x:row r="832" ht="34" customHeight="1">
      <x:c r="A832" s="18" t="str">
        <x:v>france-unemployment-benefit</x:v>
      </x:c>
      <x:c r="B832" s="18" t="str">
        <x:v>simulateur chomage</x:v>
      </x:c>
      <x:c r="C832" s="19" t="n">
        <x:v>33100</x:v>
      </x:c>
      <x:c r="D832" s="18" t="str">
        <x:v>Sí</x:v>
      </x:c>
      <x:c r="E832" s="18" t="str">
        <x:v>2025-10 / 2026-09</x:v>
      </x:c>
      <x:c r="F832" s="18" t="str">
        <x:v>Global · sin filtro de idioma</x:v>
      </x:c>
      <x:c r="G832" s="18" t="str">
        <x:v>search_volume</x:v>
      </x:c>
      <x:c r="H832" s="18" t="str">
        <x:v>global-candidates.json</x:v>
      </x:c>
      <x:c r="I832" s="18" t="str">
        <x:v>10181909-1949-0367-0000-d6f424f63198</x:v>
      </x:c>
      <x:c r="J832" s="18" t="str">
        <x:v>No</x:v>
      </x:c>
    </x:row>
    <x:row r="833" ht="34" customHeight="1">
      <x:c r="A833" s="18" t="str">
        <x:v>france-unemployment-benefit</x:v>
      </x:c>
      <x:c r="B833" s="18" t="str">
        <x:v>calcul allocation chomage</x:v>
      </x:c>
      <x:c r="C833" s="19" t="n">
        <x:v>2900</x:v>
      </x:c>
      <x:c r="D833" s="18" t="str">
        <x:v>No</x:v>
      </x:c>
      <x:c r="E833" s="18" t="str">
        <x:v>2025-10 / 2026-09</x:v>
      </x:c>
      <x:c r="F833" s="18" t="str">
        <x:v>Global · sin filtro de idioma</x:v>
      </x:c>
      <x:c r="G833" s="18" t="str">
        <x:v>search_volume</x:v>
      </x:c>
      <x:c r="H833" s="18" t="str">
        <x:v>global-candidates.json</x:v>
      </x:c>
      <x:c r="I833" s="18" t="str">
        <x:v>10181909-1949-0367-0000-d6f424f63198</x:v>
      </x:c>
      <x:c r="J833" s="18" t="str">
        <x:v>No</x:v>
      </x:c>
    </x:row>
    <x:row r="834" ht="34" customHeight="1">
      <x:c r="A834" s="18" t="str">
        <x:v>france-unemployment-benefit</x:v>
      </x:c>
      <x:c r="B834" s="18" t="str">
        <x:v>allocation chomage calcul</x:v>
      </x:c>
      <x:c r="C834" s="19" t="n">
        <x:v>2900</x:v>
      </x:c>
      <x:c r="D834" s="18" t="str">
        <x:v>No</x:v>
      </x:c>
      <x:c r="E834" s="18" t="str">
        <x:v>2025-10 / 2026-09</x:v>
      </x:c>
      <x:c r="F834" s="18" t="str">
        <x:v>Global · sin filtro de idioma</x:v>
      </x:c>
      <x:c r="G834" s="18" t="str">
        <x:v>search_volume</x:v>
      </x:c>
      <x:c r="H834" s="18" t="str">
        <x:v>global-candidates.json</x:v>
      </x:c>
      <x:c r="I834" s="18" t="str">
        <x:v>10181909-1949-0367-0000-d6f424f63198</x:v>
      </x:c>
      <x:c r="J834" s="18" t="str">
        <x:v>No</x:v>
      </x:c>
    </x:row>
    <x:row r="835" ht="34" customHeight="1">
      <x:c r="A835" s="18" t="str">
        <x:v>canada-mortgage-stress-test</x:v>
      </x:c>
      <x:c r="B835" s="18" t="str">
        <x:v>mortgage stress test calculator</x:v>
      </x:c>
      <x:c r="C835" s="19" t="n">
        <x:v>590</x:v>
      </x:c>
      <x:c r="D835" s="18" t="str">
        <x:v>Sí</x:v>
      </x:c>
      <x:c r="E835" s="18" t="str">
        <x:v>2025-10 / 2026-09</x:v>
      </x:c>
      <x:c r="F835" s="18" t="str">
        <x:v>Global · sin filtro de idioma</x:v>
      </x:c>
      <x:c r="G835" s="18" t="str">
        <x:v>search_volume</x:v>
      </x:c>
      <x:c r="H835" s="18" t="str">
        <x:v>global-candidates.json</x:v>
      </x:c>
      <x:c r="I835" s="18" t="str">
        <x:v>10181909-1949-0367-0000-d6f424f63198</x:v>
      </x:c>
      <x:c r="J835" s="18" t="str">
        <x:v>No</x:v>
      </x:c>
    </x:row>
    <x:row r="836" ht="34" customHeight="1">
      <x:c r="A836" s="18" t="str">
        <x:v>canada-mortgage-stress-test</x:v>
      </x:c>
      <x:c r="B836" s="18" t="str">
        <x:v>canada stress test mortgage</x:v>
      </x:c>
      <x:c r="C836" s="19" t="n">
        <x:v>390</x:v>
      </x:c>
      <x:c r="D836" s="18" t="str">
        <x:v>No</x:v>
      </x:c>
      <x:c r="E836" s="18" t="str">
        <x:v>2025-10 / 2026-09</x:v>
      </x:c>
      <x:c r="F836" s="18" t="str">
        <x:v>Global · sin filtro de idioma</x:v>
      </x:c>
      <x:c r="G836" s="18" t="str">
        <x:v>search_volume</x:v>
      </x:c>
      <x:c r="H836" s="18" t="str">
        <x:v>global-candidates.json</x:v>
      </x:c>
      <x:c r="I836" s="18" t="str">
        <x:v>10181909-1949-0367-0000-d6f424f63198</x:v>
      </x:c>
      <x:c r="J836" s="18" t="str">
        <x:v>No</x:v>
      </x:c>
    </x:row>
    <x:row r="837" ht="34" customHeight="1">
      <x:c r="A837" s="18" t="str">
        <x:v>canada-mortgage-stress-test</x:v>
      </x:c>
      <x:c r="B837" s="18" t="str">
        <x:v>mortgage qualification canada</x:v>
      </x:c>
      <x:c r="C837" s="19" t="n">
        <x:v>20</x:v>
      </x:c>
      <x:c r="D837" s="18" t="str">
        <x:v>No</x:v>
      </x:c>
      <x:c r="E837" s="18" t="str">
        <x:v>2025-10 / 2026-09</x:v>
      </x:c>
      <x:c r="F837" s="18" t="str">
        <x:v>Global · sin filtro de idioma</x:v>
      </x:c>
      <x:c r="G837" s="18" t="str">
        <x:v>search_volume</x:v>
      </x:c>
      <x:c r="H837" s="18" t="str">
        <x:v>global-candidates.json</x:v>
      </x:c>
      <x:c r="I837" s="18" t="str">
        <x:v>10181909-1949-0367-0000-d6f424f63198</x:v>
      </x:c>
      <x:c r="J837" s="18" t="str">
        <x:v>No</x:v>
      </x:c>
    </x:row>
    <x:row r="838" ht="34" customHeight="1">
      <x:c r="A838" s="18" t="str">
        <x:v>credit-score-simulator</x:v>
      </x:c>
      <x:c r="B838" s="18" t="str">
        <x:v>credit score simulator</x:v>
      </x:c>
      <x:c r="C838" s="19" t="n">
        <x:v>6600</x:v>
      </x:c>
      <x:c r="D838" s="18" t="str">
        <x:v>Sí</x:v>
      </x:c>
      <x:c r="E838" s="18" t="str">
        <x:v>2025-10 / 2026-09</x:v>
      </x:c>
      <x:c r="F838" s="18" t="str">
        <x:v>Global · sin filtro de idioma</x:v>
      </x:c>
      <x:c r="G838" s="18" t="str">
        <x:v>search_volume</x:v>
      </x:c>
      <x:c r="H838" s="18" t="str">
        <x:v>global-candidates.json</x:v>
      </x:c>
      <x:c r="I838" s="18" t="str">
        <x:v>10181909-1949-0367-0000-d6f424f63198</x:v>
      </x:c>
      <x:c r="J838" s="18" t="str">
        <x:v>No</x:v>
      </x:c>
    </x:row>
    <x:row r="839" ht="34" customHeight="1">
      <x:c r="A839" s="18" t="str">
        <x:v>credit-score-simulator</x:v>
      </x:c>
      <x:c r="B839" s="18" t="str">
        <x:v>credit score calculator</x:v>
      </x:c>
      <x:c r="C839" s="19" t="n">
        <x:v>2900</x:v>
      </x:c>
      <x:c r="D839" s="18" t="str">
        <x:v>No</x:v>
      </x:c>
      <x:c r="E839" s="18" t="str">
        <x:v>2025-10 / 2026-09</x:v>
      </x:c>
      <x:c r="F839" s="18" t="str">
        <x:v>Global · sin filtro de idioma</x:v>
      </x:c>
      <x:c r="G839" s="18" t="str">
        <x:v>search_volume</x:v>
      </x:c>
      <x:c r="H839" s="18" t="str">
        <x:v>global-candidates.json</x:v>
      </x:c>
      <x:c r="I839" s="18" t="str">
        <x:v>10181909-1949-0367-0000-d6f424f63198</x:v>
      </x:c>
      <x:c r="J839" s="18" t="str">
        <x:v>No</x:v>
      </x:c>
    </x:row>
    <x:row r="840" ht="34" customHeight="1">
      <x:c r="A840" s="18" t="str">
        <x:v>credit-score-simulator</x:v>
      </x:c>
      <x:c r="B840" s="18" t="str">
        <x:v>simulate credit score</x:v>
      </x:c>
      <x:c r="C840" s="19" t="n">
        <x:v>6600</x:v>
      </x:c>
      <x:c r="D840" s="18" t="str">
        <x:v>No</x:v>
      </x:c>
      <x:c r="E840" s="18" t="str">
        <x:v>2025-10 / 2026-09</x:v>
      </x:c>
      <x:c r="F840" s="18" t="str">
        <x:v>Global · sin filtro de idioma</x:v>
      </x:c>
      <x:c r="G840" s="18" t="str">
        <x:v>search_volume</x:v>
      </x:c>
      <x:c r="H840" s="18" t="str">
        <x:v>global-candidates.json</x:v>
      </x:c>
      <x:c r="I840" s="18" t="str">
        <x:v>10181909-1949-0367-0000-d6f424f63198</x:v>
      </x:c>
      <x:c r="J840" s="18" t="str">
        <x:v>No</x:v>
      </x:c>
    </x:row>
    <x:row r="841" ht="34" customHeight="1">
      <x:c r="A841" s="18" t="str">
        <x:v>futures-position-calculator</x:v>
      </x:c>
      <x:c r="B841" s="18" t="str">
        <x:v>futures calculator</x:v>
      </x:c>
      <x:c r="C841" s="19" t="n">
        <x:v>5400</x:v>
      </x:c>
      <x:c r="D841" s="18" t="str">
        <x:v>Sí</x:v>
      </x:c>
      <x:c r="E841" s="18" t="str">
        <x:v>2025-10 / 2026-09</x:v>
      </x:c>
      <x:c r="F841" s="18" t="str">
        <x:v>Global · sin filtro de idioma</x:v>
      </x:c>
      <x:c r="G841" s="18" t="str">
        <x:v>search_volume</x:v>
      </x:c>
      <x:c r="H841" s="18" t="str">
        <x:v>global-candidates.json</x:v>
      </x:c>
      <x:c r="I841" s="18" t="str">
        <x:v>10181909-1949-0367-0000-d6f424f63198</x:v>
      </x:c>
      <x:c r="J841" s="18" t="str">
        <x:v>No</x:v>
      </x:c>
    </x:row>
    <x:row r="842" ht="34" customHeight="1">
      <x:c r="A842" s="18" t="str">
        <x:v>futures-position-calculator</x:v>
      </x:c>
      <x:c r="B842" s="18" t="str">
        <x:v>futures profit calculator</x:v>
      </x:c>
      <x:c r="C842" s="19" t="n">
        <x:v>1600</x:v>
      </x:c>
      <x:c r="D842" s="18" t="str">
        <x:v>No</x:v>
      </x:c>
      <x:c r="E842" s="18" t="str">
        <x:v>2025-10 / 2026-09</x:v>
      </x:c>
      <x:c r="F842" s="18" t="str">
        <x:v>Global · sin filtro de idioma</x:v>
      </x:c>
      <x:c r="G842" s="18" t="str">
        <x:v>search_volume</x:v>
      </x:c>
      <x:c r="H842" s="18" t="str">
        <x:v>global-candidates.json</x:v>
      </x:c>
      <x:c r="I842" s="18" t="str">
        <x:v>10181909-1949-0367-0000-d6f424f63198</x:v>
      </x:c>
      <x:c r="J842" s="18" t="str">
        <x:v>No</x:v>
      </x:c>
    </x:row>
    <x:row r="843" ht="34" customHeight="1">
      <x:c r="A843" s="18" t="str">
        <x:v>futures-position-calculator</x:v>
      </x:c>
      <x:c r="B843" s="18" t="str">
        <x:v>futures margin calculator</x:v>
      </x:c>
      <x:c r="C843" s="19" t="n">
        <x:v>170</x:v>
      </x:c>
      <x:c r="D843" s="18" t="str">
        <x:v>No</x:v>
      </x:c>
      <x:c r="E843" s="18" t="str">
        <x:v>2025-10 / 2026-09</x:v>
      </x:c>
      <x:c r="F843" s="18" t="str">
        <x:v>Global · sin filtro de idioma</x:v>
      </x:c>
      <x:c r="G843" s="18" t="str">
        <x:v>search_volume</x:v>
      </x:c>
      <x:c r="H843" s="18" t="str">
        <x:v>global-candidates.json</x:v>
      </x:c>
      <x:c r="I843" s="18" t="str">
        <x:v>10181909-1949-0367-0000-d6f424f63198</x:v>
      </x:c>
      <x:c r="J843" s="18" t="str">
        <x:v>No</x:v>
      </x:c>
    </x:row>
    <x:row r="844" ht="34" customHeight="1">
      <x:c r="A844" s="18" t="str">
        <x:v>bond-ladder-planner</x:v>
      </x:c>
      <x:c r="B844" s="18" t="str">
        <x:v>bond ladder calculator</x:v>
      </x:c>
      <x:c r="C844" s="19" t="n">
        <x:v>260</x:v>
      </x:c>
      <x:c r="D844" s="18" t="str">
        <x:v>No</x:v>
      </x:c>
      <x:c r="E844" s="18" t="str">
        <x:v>2025-10 / 2026-09</x:v>
      </x:c>
      <x:c r="F844" s="18" t="str">
        <x:v>Global · sin filtro de idioma</x:v>
      </x:c>
      <x:c r="G844" s="18" t="str">
        <x:v>search_volume</x:v>
      </x:c>
      <x:c r="H844" s="18" t="str">
        <x:v>global-candidates.json</x:v>
      </x:c>
      <x:c r="I844" s="18" t="str">
        <x:v>10181909-1949-0367-0000-d6f424f63198</x:v>
      </x:c>
      <x:c r="J844" s="18" t="str">
        <x:v>No</x:v>
      </x:c>
    </x:row>
    <x:row r="845" ht="34" customHeight="1">
      <x:c r="A845" s="18" t="str">
        <x:v>bond-ladder-planner</x:v>
      </x:c>
      <x:c r="B845" s="18" t="str">
        <x:v>bond ladder planner</x:v>
      </x:c>
      <x:c r="C845" s="19" t="str">
        <x:v>n.a.</x:v>
      </x:c>
      <x:c r="D845" s="18" t="str">
        <x:v>No</x:v>
      </x:c>
      <x:c r="E845" s="18" t="str">
        <x:v>n.a.</x:v>
      </x:c>
      <x:c r="F845" s="18" t="str">
        <x:v>Global · sin filtro de idioma</x:v>
      </x:c>
      <x:c r="G845" s="18" t="str">
        <x:v>search_volume</x:v>
      </x:c>
      <x:c r="H845" s="18" t="str">
        <x:v>global-candidates.json</x:v>
      </x:c>
      <x:c r="I845" s="18" t="str">
        <x:v>10181909-1949-0367-0000-d6f424f63198</x:v>
      </x:c>
      <x:c r="J845" s="18" t="str">
        <x:v>No</x:v>
      </x:c>
    </x:row>
    <x:row r="846" ht="34" customHeight="1">
      <x:c r="A846" s="18" t="str">
        <x:v>bond-ladder-planner</x:v>
      </x:c>
      <x:c r="B846" s="18" t="str">
        <x:v>bond ladder</x:v>
      </x:c>
      <x:c r="C846" s="19" t="n">
        <x:v>2900</x:v>
      </x:c>
      <x:c r="D846" s="18" t="str">
        <x:v>Sí</x:v>
      </x:c>
      <x:c r="E846" s="18" t="str">
        <x:v>2025-10 / 2026-09</x:v>
      </x:c>
      <x:c r="F846" s="18" t="str">
        <x:v>Global · sin filtro de idioma</x:v>
      </x:c>
      <x:c r="G846" s="18" t="str">
        <x:v>search_volume</x:v>
      </x:c>
      <x:c r="H846" s="18" t="str">
        <x:v>global-candidates.json</x:v>
      </x:c>
      <x:c r="I846" s="18" t="str">
        <x:v>10181909-1949-0367-0000-d6f424f63198</x:v>
      </x:c>
      <x:c r="J846" s="18" t="str">
        <x:v>No</x:v>
      </x:c>
    </x:row>
    <x:row r="847" ht="34" customHeight="1">
      <x:c r="A847" s="18" t="str">
        <x:v>portfolio-backtester</x:v>
      </x:c>
      <x:c r="B847" s="18" t="str">
        <x:v>portfolio backtest</x:v>
      </x:c>
      <x:c r="C847" s="19" t="n">
        <x:v>8100</x:v>
      </x:c>
      <x:c r="D847" s="18" t="str">
        <x:v>Sí</x:v>
      </x:c>
      <x:c r="E847" s="18" t="str">
        <x:v>2025-10 / 2026-09</x:v>
      </x:c>
      <x:c r="F847" s="18" t="str">
        <x:v>Global · sin filtro de idioma</x:v>
      </x:c>
      <x:c r="G847" s="18" t="str">
        <x:v>search_volume</x:v>
      </x:c>
      <x:c r="H847" s="18" t="str">
        <x:v>global-candidates.json</x:v>
      </x:c>
      <x:c r="I847" s="18" t="str">
        <x:v>10181909-1949-0367-0000-d6f424f63198</x:v>
      </x:c>
      <x:c r="J847" s="18" t="str">
        <x:v>No</x:v>
      </x:c>
    </x:row>
    <x:row r="848" ht="34" customHeight="1">
      <x:c r="A848" s="18" t="str">
        <x:v>portfolio-backtester</x:v>
      </x:c>
      <x:c r="B848" s="18" t="str">
        <x:v>portfolio backtester</x:v>
      </x:c>
      <x:c r="C848" s="19" t="n">
        <x:v>8100</x:v>
      </x:c>
      <x:c r="D848" s="18" t="str">
        <x:v>No</x:v>
      </x:c>
      <x:c r="E848" s="18" t="str">
        <x:v>2025-10 / 2026-09</x:v>
      </x:c>
      <x:c r="F848" s="18" t="str">
        <x:v>Global · sin filtro de idioma</x:v>
      </x:c>
      <x:c r="G848" s="18" t="str">
        <x:v>search_volume</x:v>
      </x:c>
      <x:c r="H848" s="18" t="str">
        <x:v>global-candidates.json</x:v>
      </x:c>
      <x:c r="I848" s="18" t="str">
        <x:v>10181909-1949-0367-0000-d6f424f63198</x:v>
      </x:c>
      <x:c r="J848" s="18" t="str">
        <x:v>No</x:v>
      </x:c>
    </x:row>
    <x:row r="849" ht="34" customHeight="1">
      <x:c r="A849" s="18" t="str">
        <x:v>portfolio-backtester</x:v>
      </x:c>
      <x:c r="B849" s="18" t="str">
        <x:v>backtest portfolio</x:v>
      </x:c>
      <x:c r="C849" s="19" t="n">
        <x:v>8100</x:v>
      </x:c>
      <x:c r="D849" s="18" t="str">
        <x:v>No</x:v>
      </x:c>
      <x:c r="E849" s="18" t="str">
        <x:v>2025-10 / 2026-09</x:v>
      </x:c>
      <x:c r="F849" s="18" t="str">
        <x:v>Global · sin filtro de idioma</x:v>
      </x:c>
      <x:c r="G849" s="18" t="str">
        <x:v>search_volume</x:v>
      </x:c>
      <x:c r="H849" s="18" t="str">
        <x:v>global-candidates.json</x:v>
      </x:c>
      <x:c r="I849" s="18" t="str">
        <x:v>10181909-1949-0367-0000-d6f424f63198</x:v>
      </x:c>
      <x:c r="J849" s="18" t="str">
        <x:v>No</x:v>
      </x:c>
    </x:row>
    <x:row r="850" ht="34" customHeight="1">
      <x:c r="A850" s="18" t="str">
        <x:v>option-strategy-builder</x:v>
      </x:c>
      <x:c r="B850" s="18" t="str">
        <x:v>option strategy builder</x:v>
      </x:c>
      <x:c r="C850" s="19" t="n">
        <x:v>5400</x:v>
      </x:c>
      <x:c r="D850" s="18" t="str">
        <x:v>Sí</x:v>
      </x:c>
      <x:c r="E850" s="18" t="str">
        <x:v>2025-10 / 2026-09</x:v>
      </x:c>
      <x:c r="F850" s="18" t="str">
        <x:v>Global · sin filtro de idioma</x:v>
      </x:c>
      <x:c r="G850" s="18" t="str">
        <x:v>search_volume</x:v>
      </x:c>
      <x:c r="H850" s="18" t="str">
        <x:v>global-candidates.json</x:v>
      </x:c>
      <x:c r="I850" s="18" t="str">
        <x:v>10181909-1949-0367-0000-d6f424f63198</x:v>
      </x:c>
      <x:c r="J850" s="18" t="str">
        <x:v>No</x:v>
      </x:c>
    </x:row>
    <x:row r="851" ht="34" customHeight="1">
      <x:c r="A851" s="18" t="str">
        <x:v>option-strategy-builder</x:v>
      </x:c>
      <x:c r="B851" s="18" t="str">
        <x:v>options strategy calculator</x:v>
      </x:c>
      <x:c r="C851" s="19" t="n">
        <x:v>110</x:v>
      </x:c>
      <x:c r="D851" s="18" t="str">
        <x:v>No</x:v>
      </x:c>
      <x:c r="E851" s="18" t="str">
        <x:v>2025-10 / 2026-09</x:v>
      </x:c>
      <x:c r="F851" s="18" t="str">
        <x:v>Global · sin filtro de idioma</x:v>
      </x:c>
      <x:c r="G851" s="18" t="str">
        <x:v>search_volume</x:v>
      </x:c>
      <x:c r="H851" s="18" t="str">
        <x:v>global-candidates.json</x:v>
      </x:c>
      <x:c r="I851" s="18" t="str">
        <x:v>10181909-1949-0367-0000-d6f424f63198</x:v>
      </x:c>
      <x:c r="J851" s="18" t="str">
        <x:v>No</x:v>
      </x:c>
    </x:row>
    <x:row r="852" ht="34" customHeight="1">
      <x:c r="A852" s="18" t="str">
        <x:v>option-strategy-builder</x:v>
      </x:c>
      <x:c r="B852" s="18" t="str">
        <x:v>option payoff diagram</x:v>
      </x:c>
      <x:c r="C852" s="19" t="n">
        <x:v>720</x:v>
      </x:c>
      <x:c r="D852" s="18" t="str">
        <x:v>No</x:v>
      </x:c>
      <x:c r="E852" s="18" t="str">
        <x:v>2025-10 / 2026-09</x:v>
      </x:c>
      <x:c r="F852" s="18" t="str">
        <x:v>Global · sin filtro de idioma</x:v>
      </x:c>
      <x:c r="G852" s="18" t="str">
        <x:v>search_volume</x:v>
      </x:c>
      <x:c r="H852" s="18" t="str">
        <x:v>global-candidates.json</x:v>
      </x:c>
      <x:c r="I852" s="18" t="str">
        <x:v>10181909-1949-0367-0000-d6f424f63198</x:v>
      </x:c>
      <x:c r="J852" s="18" t="str">
        <x:v>No</x:v>
      </x:c>
    </x:row>
    <x:row r="853" ht="34" customHeight="1">
      <x:c r="A853" s="18" t="str">
        <x:v>insurance-needs-calculator</x:v>
      </x:c>
      <x:c r="B853" s="18" t="str">
        <x:v>life insurance calculator</x:v>
      </x:c>
      <x:c r="C853" s="19" t="n">
        <x:v>12100</x:v>
      </x:c>
      <x:c r="D853" s="18" t="str">
        <x:v>No</x:v>
      </x:c>
      <x:c r="E853" s="18" t="str">
        <x:v>2025-10 / 2026-09</x:v>
      </x:c>
      <x:c r="F853" s="18" t="str">
        <x:v>Global · sin filtro de idioma</x:v>
      </x:c>
      <x:c r="G853" s="18" t="str">
        <x:v>search_volume</x:v>
      </x:c>
      <x:c r="H853" s="18" t="str">
        <x:v>global-candidates.json</x:v>
      </x:c>
      <x:c r="I853" s="18" t="str">
        <x:v>10181909-1949-0367-0000-d6f424f63198</x:v>
      </x:c>
      <x:c r="J853" s="18" t="str">
        <x:v>No</x:v>
      </x:c>
    </x:row>
    <x:row r="854" ht="34" customHeight="1">
      <x:c r="A854" s="18" t="str">
        <x:v>insurance-needs-calculator</x:v>
      </x:c>
      <x:c r="B854" s="18" t="str">
        <x:v>life insurance needs calculator</x:v>
      </x:c>
      <x:c r="C854" s="19" t="n">
        <x:v>880</x:v>
      </x:c>
      <x:c r="D854" s="18" t="str">
        <x:v>No</x:v>
      </x:c>
      <x:c r="E854" s="18" t="str">
        <x:v>2025-10 / 2026-09</x:v>
      </x:c>
      <x:c r="F854" s="18" t="str">
        <x:v>Global · sin filtro de idioma</x:v>
      </x:c>
      <x:c r="G854" s="18" t="str">
        <x:v>search_volume</x:v>
      </x:c>
      <x:c r="H854" s="18" t="str">
        <x:v>global-candidates.json</x:v>
      </x:c>
      <x:c r="I854" s="18" t="str">
        <x:v>10181909-1949-0367-0000-d6f424f63198</x:v>
      </x:c>
      <x:c r="J854" s="18" t="str">
        <x:v>No</x:v>
      </x:c>
    </x:row>
    <x:row r="855" ht="34" customHeight="1">
      <x:c r="A855" s="18" t="str">
        <x:v>insurance-needs-calculator</x:v>
      </x:c>
      <x:c r="B855" s="18" t="str">
        <x:v>insurance calculator</x:v>
      </x:c>
      <x:c r="C855" s="19" t="n">
        <x:v>14800</x:v>
      </x:c>
      <x:c r="D855" s="18" t="str">
        <x:v>Sí</x:v>
      </x:c>
      <x:c r="E855" s="18" t="str">
        <x:v>2025-10 / 2026-09</x:v>
      </x:c>
      <x:c r="F855" s="18" t="str">
        <x:v>Global · sin filtro de idioma</x:v>
      </x:c>
      <x:c r="G855" s="18" t="str">
        <x:v>search_volume</x:v>
      </x:c>
      <x:c r="H855" s="18" t="str">
        <x:v>global-candidates.json</x:v>
      </x:c>
      <x:c r="I855" s="18" t="str">
        <x:v>10181909-1949-0367-0000-d6f424f63198</x:v>
      </x:c>
      <x:c r="J855" s="18" t="str">
        <x:v>No</x:v>
      </x:c>
    </x:row>
    <x:row r="856" ht="34" customHeight="1">
      <x:c r="A856" s="18" t="str">
        <x:v>rent-split-calculator</x:v>
      </x:c>
      <x:c r="B856" s="18" t="str">
        <x:v>rent split calculator</x:v>
      </x:c>
      <x:c r="C856" s="19" t="n">
        <x:v>4400</x:v>
      </x:c>
      <x:c r="D856" s="18" t="str">
        <x:v>No</x:v>
      </x:c>
      <x:c r="E856" s="18" t="str">
        <x:v>2025-10 / 2026-09</x:v>
      </x:c>
      <x:c r="F856" s="18" t="str">
        <x:v>Global · sin filtro de idioma</x:v>
      </x:c>
      <x:c r="G856" s="18" t="str">
        <x:v>search_volume</x:v>
      </x:c>
      <x:c r="H856" s="18" t="str">
        <x:v>global-candidates.json</x:v>
      </x:c>
      <x:c r="I856" s="18" t="str">
        <x:v>10181909-1949-0367-0000-d6f424f63198</x:v>
      </x:c>
      <x:c r="J856" s="18" t="str">
        <x:v>No</x:v>
      </x:c>
    </x:row>
    <x:row r="857" ht="34" customHeight="1">
      <x:c r="A857" s="18" t="str">
        <x:v>rent-split-calculator</x:v>
      </x:c>
      <x:c r="B857" s="18" t="str">
        <x:v>split rent</x:v>
      </x:c>
      <x:c r="C857" s="19" t="n">
        <x:v>22200</x:v>
      </x:c>
      <x:c r="D857" s="18" t="str">
        <x:v>Sí</x:v>
      </x:c>
      <x:c r="E857" s="18" t="str">
        <x:v>2025-10 / 2026-09</x:v>
      </x:c>
      <x:c r="F857" s="18" t="str">
        <x:v>Global · sin filtro de idioma</x:v>
      </x:c>
      <x:c r="G857" s="18" t="str">
        <x:v>search_volume</x:v>
      </x:c>
      <x:c r="H857" s="18" t="str">
        <x:v>global-candidates.json</x:v>
      </x:c>
      <x:c r="I857" s="18" t="str">
        <x:v>10181909-1949-0367-0000-d6f424f63198</x:v>
      </x:c>
      <x:c r="J857" s="18" t="str">
        <x:v>No</x:v>
      </x:c>
    </x:row>
    <x:row r="858" ht="34" customHeight="1">
      <x:c r="A858" s="18" t="str">
        <x:v>rent-split-calculator</x:v>
      </x:c>
      <x:c r="B858" s="18" t="str">
        <x:v>calculadora reparto alquiler</x:v>
      </x:c>
      <x:c r="C858" s="19" t="str">
        <x:v>n.a.</x:v>
      </x:c>
      <x:c r="D858" s="18" t="str">
        <x:v>No</x:v>
      </x:c>
      <x:c r="E858" s="18" t="str">
        <x:v>n.a.</x:v>
      </x:c>
      <x:c r="F858" s="18" t="str">
        <x:v>Global · sin filtro de idioma</x:v>
      </x:c>
      <x:c r="G858" s="18" t="str">
        <x:v>search_volume</x:v>
      </x:c>
      <x:c r="H858" s="18" t="str">
        <x:v>global-candidates.json</x:v>
      </x:c>
      <x:c r="I858" s="18" t="str">
        <x:v>10181909-1949-0367-0000-d6f424f63198</x:v>
      </x:c>
      <x:c r="J858" s="18" t="str">
        <x:v>No</x:v>
      </x:c>
    </x:row>
    <x:row r="859" ht="34" customHeight="1">
      <x:c r="A859" s="18" t="str">
        <x:v>freelance-rate-calculator</x:v>
      </x:c>
      <x:c r="B859" s="18" t="str">
        <x:v>freelance rate calculator</x:v>
      </x:c>
      <x:c r="C859" s="19" t="n">
        <x:v>880</x:v>
      </x:c>
      <x:c r="D859" s="18" t="str">
        <x:v>Sí</x:v>
      </x:c>
      <x:c r="E859" s="18" t="str">
        <x:v>2025-10 / 2026-09</x:v>
      </x:c>
      <x:c r="F859" s="18" t="str">
        <x:v>Global · sin filtro de idioma</x:v>
      </x:c>
      <x:c r="G859" s="18" t="str">
        <x:v>search_volume</x:v>
      </x:c>
      <x:c r="H859" s="18" t="str">
        <x:v>global-candidates.json</x:v>
      </x:c>
      <x:c r="I859" s="18" t="str">
        <x:v>10181909-1949-0367-0000-d6f424f63198</x:v>
      </x:c>
      <x:c r="J859" s="18" t="str">
        <x:v>No</x:v>
      </x:c>
    </x:row>
    <x:row r="860" ht="34" customHeight="1">
      <x:c r="A860" s="18" t="str">
        <x:v>freelance-rate-calculator</x:v>
      </x:c>
      <x:c r="B860" s="18" t="str">
        <x:v>hourly rate calculator freelance</x:v>
      </x:c>
      <x:c r="C860" s="19" t="n">
        <x:v>210</x:v>
      </x:c>
      <x:c r="D860" s="18" t="str">
        <x:v>No</x:v>
      </x:c>
      <x:c r="E860" s="18" t="str">
        <x:v>2025-10 / 2026-09</x:v>
      </x:c>
      <x:c r="F860" s="18" t="str">
        <x:v>Global · sin filtro de idioma</x:v>
      </x:c>
      <x:c r="G860" s="18" t="str">
        <x:v>search_volume</x:v>
      </x:c>
      <x:c r="H860" s="18" t="str">
        <x:v>global-candidates.json</x:v>
      </x:c>
      <x:c r="I860" s="18" t="str">
        <x:v>10181909-1949-0367-0000-d6f424f63198</x:v>
      </x:c>
      <x:c r="J860" s="18" t="str">
        <x:v>No</x:v>
      </x:c>
    </x:row>
    <x:row r="861" ht="34" customHeight="1">
      <x:c r="A861" s="18" t="str">
        <x:v>freelance-rate-calculator</x:v>
      </x:c>
      <x:c r="B861" s="18" t="str">
        <x:v>calculadora tarifa freelance</x:v>
      </x:c>
      <x:c r="C861" s="19" t="str">
        <x:v>n.a.</x:v>
      </x:c>
      <x:c r="D861" s="18" t="str">
        <x:v>No</x:v>
      </x:c>
      <x:c r="E861" s="18" t="str">
        <x:v>n.a.</x:v>
      </x:c>
      <x:c r="F861" s="18" t="str">
        <x:v>Global · sin filtro de idioma</x:v>
      </x:c>
      <x:c r="G861" s="18" t="str">
        <x:v>search_volume</x:v>
      </x:c>
      <x:c r="H861" s="18" t="str">
        <x:v>global-candidates.json</x:v>
      </x:c>
      <x:c r="I861" s="18" t="str">
        <x:v>10181909-1949-0367-0000-d6f424f63198</x:v>
      </x:c>
      <x:c r="J861" s="18" t="str">
        <x:v>No</x:v>
      </x:c>
    </x:row>
    <x:row r="862" ht="34" customHeight="1">
      <x:c r="A862" s="18" t="str">
        <x:v>subscription-pricing-simulator</x:v>
      </x:c>
      <x:c r="B862" s="18" t="str">
        <x:v>saas pricing calculator</x:v>
      </x:c>
      <x:c r="C862" s="19" t="n">
        <x:v>90</x:v>
      </x:c>
      <x:c r="D862" s="18" t="str">
        <x:v>No</x:v>
      </x:c>
      <x:c r="E862" s="18" t="str">
        <x:v>2025-10 / 2026-09</x:v>
      </x:c>
      <x:c r="F862" s="18" t="str">
        <x:v>Global · sin filtro de idioma</x:v>
      </x:c>
      <x:c r="G862" s="18" t="str">
        <x:v>search_volume</x:v>
      </x:c>
      <x:c r="H862" s="18" t="str">
        <x:v>global-candidates.json</x:v>
      </x:c>
      <x:c r="I862" s="18" t="str">
        <x:v>10181909-1949-0367-0000-d6f424f63198</x:v>
      </x:c>
      <x:c r="J862" s="18" t="str">
        <x:v>No</x:v>
      </x:c>
    </x:row>
    <x:row r="863" ht="34" customHeight="1">
      <x:c r="A863" s="18" t="str">
        <x:v>subscription-pricing-simulator</x:v>
      </x:c>
      <x:c r="B863" s="18" t="str">
        <x:v>subscription pricing calculator</x:v>
      </x:c>
      <x:c r="C863" s="19" t="n">
        <x:v>10</x:v>
      </x:c>
      <x:c r="D863" s="18" t="str">
        <x:v>No</x:v>
      </x:c>
      <x:c r="E863" s="18" t="str">
        <x:v>2025-10 / 2026-09</x:v>
      </x:c>
      <x:c r="F863" s="18" t="str">
        <x:v>Global · sin filtro de idioma</x:v>
      </x:c>
      <x:c r="G863" s="18" t="str">
        <x:v>search_volume</x:v>
      </x:c>
      <x:c r="H863" s="18" t="str">
        <x:v>global-candidates.json</x:v>
      </x:c>
      <x:c r="I863" s="18" t="str">
        <x:v>10181909-1949-0367-0000-d6f424f63198</x:v>
      </x:c>
      <x:c r="J863" s="18" t="str">
        <x:v>No</x:v>
      </x:c>
    </x:row>
    <x:row r="864" ht="34" customHeight="1">
      <x:c r="A864" s="18" t="str">
        <x:v>subscription-pricing-simulator</x:v>
      </x:c>
      <x:c r="B864" s="18" t="str">
        <x:v>saas calculator</x:v>
      </x:c>
      <x:c r="C864" s="19" t="n">
        <x:v>260</x:v>
      </x:c>
      <x:c r="D864" s="18" t="str">
        <x:v>Sí</x:v>
      </x:c>
      <x:c r="E864" s="18" t="str">
        <x:v>2025-10 / 2026-09</x:v>
      </x:c>
      <x:c r="F864" s="18" t="str">
        <x:v>Global · sin filtro de idioma</x:v>
      </x:c>
      <x:c r="G864" s="18" t="str">
        <x:v>search_volume</x:v>
      </x:c>
      <x:c r="H864" s="18" t="str">
        <x:v>global-candidates.json</x:v>
      </x:c>
      <x:c r="I864" s="18" t="str">
        <x:v>10181909-1949-0367-0000-d6f424f63198</x:v>
      </x:c>
      <x:c r="J864" s="18" t="str">
        <x:v>No</x:v>
      </x:c>
    </x:row>
    <x:row r="865" ht="34" customHeight="1">
      <x:c r="A865" s="18" t="str">
        <x:v>inventory-reorder-calculator</x:v>
      </x:c>
      <x:c r="B865" s="18" t="str">
        <x:v>reorder point calculator</x:v>
      </x:c>
      <x:c r="C865" s="19" t="n">
        <x:v>210</x:v>
      </x:c>
      <x:c r="D865" s="18" t="str">
        <x:v>No</x:v>
      </x:c>
      <x:c r="E865" s="18" t="str">
        <x:v>2025-10 / 2026-09</x:v>
      </x:c>
      <x:c r="F865" s="18" t="str">
        <x:v>Global · sin filtro de idioma</x:v>
      </x:c>
      <x:c r="G865" s="18" t="str">
        <x:v>search_volume</x:v>
      </x:c>
      <x:c r="H865" s="18" t="str">
        <x:v>global-candidates.json</x:v>
      </x:c>
      <x:c r="I865" s="18" t="str">
        <x:v>10181909-1949-0367-0000-d6f424f63198</x:v>
      </x:c>
      <x:c r="J865" s="18" t="str">
        <x:v>No</x:v>
      </x:c>
    </x:row>
    <x:row r="866" ht="34" customHeight="1">
      <x:c r="A866" s="18" t="str">
        <x:v>inventory-reorder-calculator</x:v>
      </x:c>
      <x:c r="B866" s="18" t="str">
        <x:v>eoq calculator</x:v>
      </x:c>
      <x:c r="C866" s="19" t="n">
        <x:v>590</x:v>
      </x:c>
      <x:c r="D866" s="18" t="str">
        <x:v>Sí</x:v>
      </x:c>
      <x:c r="E866" s="18" t="str">
        <x:v>2025-10 / 2026-09</x:v>
      </x:c>
      <x:c r="F866" s="18" t="str">
        <x:v>Global · sin filtro de idioma</x:v>
      </x:c>
      <x:c r="G866" s="18" t="str">
        <x:v>search_volume</x:v>
      </x:c>
      <x:c r="H866" s="18" t="str">
        <x:v>global-candidates.json</x:v>
      </x:c>
      <x:c r="I866" s="18" t="str">
        <x:v>10181909-1949-0367-0000-d6f424f63198</x:v>
      </x:c>
      <x:c r="J866" s="18" t="str">
        <x:v>No</x:v>
      </x:c>
    </x:row>
    <x:row r="867" ht="34" customHeight="1">
      <x:c r="A867" s="18" t="str">
        <x:v>inventory-reorder-calculator</x:v>
      </x:c>
      <x:c r="B867" s="18" t="str">
        <x:v>inventory calculator</x:v>
      </x:c>
      <x:c r="C867" s="19" t="n">
        <x:v>590</x:v>
      </x:c>
      <x:c r="D867" s="18" t="str">
        <x:v>No</x:v>
      </x:c>
      <x:c r="E867" s="18" t="str">
        <x:v>2025-10 / 2026-09</x:v>
      </x:c>
      <x:c r="F867" s="18" t="str">
        <x:v>Global · sin filtro de idioma</x:v>
      </x:c>
      <x:c r="G867" s="18" t="str">
        <x:v>search_volume</x:v>
      </x:c>
      <x:c r="H867" s="18" t="str">
        <x:v>global-candidates.json</x:v>
      </x:c>
      <x:c r="I867" s="18" t="str">
        <x:v>10181909-1949-0367-0000-d6f424f63198</x:v>
      </x:c>
      <x:c r="J867" s="18" t="str">
        <x:v>No</x:v>
      </x:c>
    </x:row>
    <x:row r="868" ht="34" customHeight="1">
      <x:c r="A868" s="18" t="str">
        <x:v>project-pert-estimator</x:v>
      </x:c>
      <x:c r="B868" s="18" t="str">
        <x:v>pert calculator</x:v>
      </x:c>
      <x:c r="C868" s="19" t="n">
        <x:v>590</x:v>
      </x:c>
      <x:c r="D868" s="18" t="str">
        <x:v>No</x:v>
      </x:c>
      <x:c r="E868" s="18" t="str">
        <x:v>2025-10 / 2026-09</x:v>
      </x:c>
      <x:c r="F868" s="18" t="str">
        <x:v>Global · sin filtro de idioma</x:v>
      </x:c>
      <x:c r="G868" s="18" t="str">
        <x:v>search_volume</x:v>
      </x:c>
      <x:c r="H868" s="18" t="str">
        <x:v>global-candidates.json</x:v>
      </x:c>
      <x:c r="I868" s="18" t="str">
        <x:v>10181909-1949-0367-0000-d6f424f63198</x:v>
      </x:c>
      <x:c r="J868" s="18" t="str">
        <x:v>No</x:v>
      </x:c>
    </x:row>
    <x:row r="869" ht="34" customHeight="1">
      <x:c r="A869" s="18" t="str">
        <x:v>project-pert-estimator</x:v>
      </x:c>
      <x:c r="B869" s="18" t="str">
        <x:v>project estimation calculator</x:v>
      </x:c>
      <x:c r="C869" s="19" t="n">
        <x:v>10</x:v>
      </x:c>
      <x:c r="D869" s="18" t="str">
        <x:v>No</x:v>
      </x:c>
      <x:c r="E869" s="18" t="str">
        <x:v>2025-10 / 2026-09</x:v>
      </x:c>
      <x:c r="F869" s="18" t="str">
        <x:v>Global · sin filtro de idioma</x:v>
      </x:c>
      <x:c r="G869" s="18" t="str">
        <x:v>search_volume</x:v>
      </x:c>
      <x:c r="H869" s="18" t="str">
        <x:v>global-candidates.json</x:v>
      </x:c>
      <x:c r="I869" s="18" t="str">
        <x:v>10181909-1949-0367-0000-d6f424f63198</x:v>
      </x:c>
      <x:c r="J869" s="18" t="str">
        <x:v>No</x:v>
      </x:c>
    </x:row>
    <x:row r="870" ht="34" customHeight="1">
      <x:c r="A870" s="18" t="str">
        <x:v>project-pert-estimator</x:v>
      </x:c>
      <x:c r="B870" s="18" t="str">
        <x:v>pert chart</x:v>
      </x:c>
      <x:c r="C870" s="19" t="n">
        <x:v>22200</x:v>
      </x:c>
      <x:c r="D870" s="18" t="str">
        <x:v>Sí</x:v>
      </x:c>
      <x:c r="E870" s="18" t="str">
        <x:v>2025-10 / 2026-09</x:v>
      </x:c>
      <x:c r="F870" s="18" t="str">
        <x:v>Global · sin filtro de idioma</x:v>
      </x:c>
      <x:c r="G870" s="18" t="str">
        <x:v>search_volume</x:v>
      </x:c>
      <x:c r="H870" s="18" t="str">
        <x:v>global-candidates.json</x:v>
      </x:c>
      <x:c r="I870" s="18" t="str">
        <x:v>10181909-1949-0367-0000-d6f424f63198</x:v>
      </x:c>
      <x:c r="J870" s="18" t="str">
        <x:v>No</x:v>
      </x:c>
    </x:row>
    <x:row r="871" ht="34" customHeight="1">
      <x:c r="A871" s="18" t="str">
        <x:v>critical-path-planner</x:v>
      </x:c>
      <x:c r="B871" s="18" t="str">
        <x:v>critical path calculator</x:v>
      </x:c>
      <x:c r="C871" s="19" t="n">
        <x:v>390</x:v>
      </x:c>
      <x:c r="D871" s="18" t="str">
        <x:v>No</x:v>
      </x:c>
      <x:c r="E871" s="18" t="str">
        <x:v>2025-10 / 2026-09</x:v>
      </x:c>
      <x:c r="F871" s="18" t="str">
        <x:v>Global · sin filtro de idioma</x:v>
      </x:c>
      <x:c r="G871" s="18" t="str">
        <x:v>search_volume</x:v>
      </x:c>
      <x:c r="H871" s="18" t="str">
        <x:v>global-candidates.json</x:v>
      </x:c>
      <x:c r="I871" s="18" t="str">
        <x:v>10181909-1949-0367-0000-d6f424f63198</x:v>
      </x:c>
      <x:c r="J871" s="18" t="str">
        <x:v>No</x:v>
      </x:c>
    </x:row>
    <x:row r="872" ht="34" customHeight="1">
      <x:c r="A872" s="18" t="str">
        <x:v>critical-path-planner</x:v>
      </x:c>
      <x:c r="B872" s="18" t="str">
        <x:v>critical path method</x:v>
      </x:c>
      <x:c r="C872" s="19" t="n">
        <x:v>18100</x:v>
      </x:c>
      <x:c r="D872" s="18" t="str">
        <x:v>Sí</x:v>
      </x:c>
      <x:c r="E872" s="18" t="str">
        <x:v>2025-10 / 2026-09</x:v>
      </x:c>
      <x:c r="F872" s="18" t="str">
        <x:v>Global · sin filtro de idioma</x:v>
      </x:c>
      <x:c r="G872" s="18" t="str">
        <x:v>search_volume</x:v>
      </x:c>
      <x:c r="H872" s="18" t="str">
        <x:v>global-candidates.json</x:v>
      </x:c>
      <x:c r="I872" s="18" t="str">
        <x:v>10181909-1949-0367-0000-d6f424f63198</x:v>
      </x:c>
      <x:c r="J872" s="18" t="str">
        <x:v>No</x:v>
      </x:c>
    </x:row>
    <x:row r="873" ht="34" customHeight="1">
      <x:c r="A873" s="18" t="str">
        <x:v>critical-path-planner</x:v>
      </x:c>
      <x:c r="B873" s="18" t="str">
        <x:v>cpm network diagram</x:v>
      </x:c>
      <x:c r="C873" s="19" t="n">
        <x:v>720</x:v>
      </x:c>
      <x:c r="D873" s="18" t="str">
        <x:v>No</x:v>
      </x:c>
      <x:c r="E873" s="18" t="str">
        <x:v>2025-10 / 2026-09</x:v>
      </x:c>
      <x:c r="F873" s="18" t="str">
        <x:v>Global · sin filtro de idioma</x:v>
      </x:c>
      <x:c r="G873" s="18" t="str">
        <x:v>search_volume</x:v>
      </x:c>
      <x:c r="H873" s="18" t="str">
        <x:v>global-candidates.json</x:v>
      </x:c>
      <x:c r="I873" s="18" t="str">
        <x:v>10181909-1949-0367-0000-d6f424f63198</x:v>
      </x:c>
      <x:c r="J873" s="18" t="str">
        <x:v>No</x:v>
      </x:c>
    </x:row>
    <x:row r="874" ht="34" customHeight="1">
      <x:c r="A874" s="18" t="str">
        <x:v>raci-matrix-builder</x:v>
      </x:c>
      <x:c r="B874" s="18" t="str">
        <x:v>raci matrix</x:v>
      </x:c>
      <x:c r="C874" s="19" t="n">
        <x:v>165000</x:v>
      </x:c>
      <x:c r="D874" s="18" t="str">
        <x:v>Sí</x:v>
      </x:c>
      <x:c r="E874" s="18" t="str">
        <x:v>2025-10 / 2026-09</x:v>
      </x:c>
      <x:c r="F874" s="18" t="str">
        <x:v>Global · sin filtro de idioma</x:v>
      </x:c>
      <x:c r="G874" s="18" t="str">
        <x:v>search_volume</x:v>
      </x:c>
      <x:c r="H874" s="18" t="str">
        <x:v>global-candidates.json</x:v>
      </x:c>
      <x:c r="I874" s="18" t="str">
        <x:v>10181909-1949-0367-0000-d6f424f63198</x:v>
      </x:c>
      <x:c r="J874" s="18" t="str">
        <x:v>No</x:v>
      </x:c>
    </x:row>
    <x:row r="875" ht="34" customHeight="1">
      <x:c r="A875" s="18" t="str">
        <x:v>raci-matrix-builder</x:v>
      </x:c>
      <x:c r="B875" s="18" t="str">
        <x:v>raci matrix template</x:v>
      </x:c>
      <x:c r="C875" s="19" t="n">
        <x:v>9900</x:v>
      </x:c>
      <x:c r="D875" s="18" t="str">
        <x:v>No</x:v>
      </x:c>
      <x:c r="E875" s="18" t="str">
        <x:v>2025-10 / 2026-09</x:v>
      </x:c>
      <x:c r="F875" s="18" t="str">
        <x:v>Global · sin filtro de idioma</x:v>
      </x:c>
      <x:c r="G875" s="18" t="str">
        <x:v>search_volume</x:v>
      </x:c>
      <x:c r="H875" s="18" t="str">
        <x:v>global-candidates.json</x:v>
      </x:c>
      <x:c r="I875" s="18" t="str">
        <x:v>10181909-1949-0367-0000-d6f424f63198</x:v>
      </x:c>
      <x:c r="J875" s="18" t="str">
        <x:v>No</x:v>
      </x:c>
    </x:row>
    <x:row r="876" ht="34" customHeight="1">
      <x:c r="A876" s="18" t="str">
        <x:v>raci-matrix-builder</x:v>
      </x:c>
      <x:c r="B876" s="18" t="str">
        <x:v>raci chart</x:v>
      </x:c>
      <x:c r="C876" s="19" t="n">
        <x:v>33100</x:v>
      </x:c>
      <x:c r="D876" s="18" t="str">
        <x:v>No</x:v>
      </x:c>
      <x:c r="E876" s="18" t="str">
        <x:v>2025-10 / 2026-09</x:v>
      </x:c>
      <x:c r="F876" s="18" t="str">
        <x:v>Global · sin filtro de idioma</x:v>
      </x:c>
      <x:c r="G876" s="18" t="str">
        <x:v>search_volume</x:v>
      </x:c>
      <x:c r="H876" s="18" t="str">
        <x:v>global-candidates.json</x:v>
      </x:c>
      <x:c r="I876" s="18" t="str">
        <x:v>10181909-1949-0367-0000-d6f424f63198</x:v>
      </x:c>
      <x:c r="J876" s="18" t="str">
        <x:v>No</x:v>
      </x:c>
    </x:row>
    <x:row r="877" ht="34" customHeight="1">
      <x:c r="A877" s="18" t="str">
        <x:v>swot-analysis-builder</x:v>
      </x:c>
      <x:c r="B877" s="18" t="str">
        <x:v>swot analysis template</x:v>
      </x:c>
      <x:c r="C877" s="19" t="n">
        <x:v>40500</x:v>
      </x:c>
      <x:c r="D877" s="18" t="str">
        <x:v>Sí</x:v>
      </x:c>
      <x:c r="E877" s="18" t="str">
        <x:v>2025-10 / 2026-09</x:v>
      </x:c>
      <x:c r="F877" s="18" t="str">
        <x:v>Global · sin filtro de idioma</x:v>
      </x:c>
      <x:c r="G877" s="18" t="str">
        <x:v>search_volume</x:v>
      </x:c>
      <x:c r="H877" s="18" t="str">
        <x:v>global-candidates.json</x:v>
      </x:c>
      <x:c r="I877" s="18" t="str">
        <x:v>10181909-1949-0367-0000-d6f424f63198</x:v>
      </x:c>
      <x:c r="J877" s="18" t="str">
        <x:v>No</x:v>
      </x:c>
    </x:row>
    <x:row r="878" ht="34" customHeight="1">
      <x:c r="A878" s="18" t="str">
        <x:v>business-model-canvas</x:v>
      </x:c>
      <x:c r="B878" s="18" t="str">
        <x:v>business model canvas</x:v>
      </x:c>
      <x:c r="C878" s="19" t="n">
        <x:v>201000</x:v>
      </x:c>
      <x:c r="D878" s="18" t="str">
        <x:v>Sí</x:v>
      </x:c>
      <x:c r="E878" s="18" t="str">
        <x:v>2025-10 / 2026-09</x:v>
      </x:c>
      <x:c r="F878" s="18" t="str">
        <x:v>Global · sin filtro de idioma</x:v>
      </x:c>
      <x:c r="G878" s="18" t="str">
        <x:v>search_volume</x:v>
      </x:c>
      <x:c r="H878" s="18" t="str">
        <x:v>global-candidates.json</x:v>
      </x:c>
      <x:c r="I878" s="18" t="str">
        <x:v>10181909-1949-0367-0000-d6f424f63198</x:v>
      </x:c>
      <x:c r="J878" s="18" t="str">
        <x:v>No</x:v>
      </x:c>
    </x:row>
    <x:row r="879" ht="34" customHeight="1">
      <x:c r="A879" s="18" t="str">
        <x:v>business-model-canvas</x:v>
      </x:c>
      <x:c r="B879" s="18" t="str">
        <x:v>business model canvas template</x:v>
      </x:c>
      <x:c r="C879" s="19" t="n">
        <x:v>18100</x:v>
      </x:c>
      <x:c r="D879" s="18" t="str">
        <x:v>No</x:v>
      </x:c>
      <x:c r="E879" s="18" t="str">
        <x:v>2025-10 / 2026-09</x:v>
      </x:c>
      <x:c r="F879" s="18" t="str">
        <x:v>Global · sin filtro de idioma</x:v>
      </x:c>
      <x:c r="G879" s="18" t="str">
        <x:v>search_volume</x:v>
      </x:c>
      <x:c r="H879" s="18" t="str">
        <x:v>global-candidates.json</x:v>
      </x:c>
      <x:c r="I879" s="18" t="str">
        <x:v>10181909-1949-0367-0000-d6f424f63198</x:v>
      </x:c>
      <x:c r="J879" s="18" t="str">
        <x:v>No</x:v>
      </x:c>
    </x:row>
    <x:row r="880" ht="34" customHeight="1">
      <x:c r="A880" s="18" t="str">
        <x:v>business-model-canvas</x:v>
      </x:c>
      <x:c r="B880" s="18" t="str">
        <x:v>modelo canvas</x:v>
      </x:c>
      <x:c r="C880" s="19" t="n">
        <x:v>60500</x:v>
      </x:c>
      <x:c r="D880" s="18" t="str">
        <x:v>No</x:v>
      </x:c>
      <x:c r="E880" s="18" t="str">
        <x:v>2025-10 / 2026-09</x:v>
      </x:c>
      <x:c r="F880" s="18" t="str">
        <x:v>Global · sin filtro de idioma</x:v>
      </x:c>
      <x:c r="G880" s="18" t="str">
        <x:v>search_volume</x:v>
      </x:c>
      <x:c r="H880" s="18" t="str">
        <x:v>global-candidates.json</x:v>
      </x:c>
      <x:c r="I880" s="18" t="str">
        <x:v>10181909-1949-0367-0000-d6f424f63198</x:v>
      </x:c>
      <x:c r="J880" s="18" t="str">
        <x:v>No</x:v>
      </x:c>
    </x:row>
    <x:row r="881" ht="34" customHeight="1">
      <x:c r="A881" s="18" t="str">
        <x:v>lean-canvas-builder</x:v>
      </x:c>
      <x:c r="B881" s="18" t="str">
        <x:v>lean canvas</x:v>
      </x:c>
      <x:c r="C881" s="19" t="n">
        <x:v>60500</x:v>
      </x:c>
      <x:c r="D881" s="18" t="str">
        <x:v>Sí</x:v>
      </x:c>
      <x:c r="E881" s="18" t="str">
        <x:v>2025-10 / 2026-09</x:v>
      </x:c>
      <x:c r="F881" s="18" t="str">
        <x:v>Global · sin filtro de idioma</x:v>
      </x:c>
      <x:c r="G881" s="18" t="str">
        <x:v>search_volume</x:v>
      </x:c>
      <x:c r="H881" s="18" t="str">
        <x:v>global-candidates.json</x:v>
      </x:c>
      <x:c r="I881" s="18" t="str">
        <x:v>10181909-1949-0367-0000-d6f424f63198</x:v>
      </x:c>
      <x:c r="J881" s="18" t="str">
        <x:v>No</x:v>
      </x:c>
    </x:row>
    <x:row r="882" ht="34" customHeight="1">
      <x:c r="A882" s="18" t="str">
        <x:v>lean-canvas-builder</x:v>
      </x:c>
      <x:c r="B882" s="18" t="str">
        <x:v>lean canvas template</x:v>
      </x:c>
      <x:c r="C882" s="19" t="n">
        <x:v>4400</x:v>
      </x:c>
      <x:c r="D882" s="18" t="str">
        <x:v>No</x:v>
      </x:c>
      <x:c r="E882" s="18" t="str">
        <x:v>2025-10 / 2026-09</x:v>
      </x:c>
      <x:c r="F882" s="18" t="str">
        <x:v>Global · sin filtro de idioma</x:v>
      </x:c>
      <x:c r="G882" s="18" t="str">
        <x:v>search_volume</x:v>
      </x:c>
      <x:c r="H882" s="18" t="str">
        <x:v>global-candidates.json</x:v>
      </x:c>
      <x:c r="I882" s="18" t="str">
        <x:v>10181909-1949-0367-0000-d6f424f63198</x:v>
      </x:c>
      <x:c r="J882" s="18" t="str">
        <x:v>No</x:v>
      </x:c>
    </x:row>
    <x:row r="883" ht="34" customHeight="1">
      <x:c r="A883" s="18" t="str">
        <x:v>lean-canvas-builder</x:v>
      </x:c>
      <x:c r="B883" s="18" t="str">
        <x:v>lean canvas online</x:v>
      </x:c>
      <x:c r="C883" s="19" t="n">
        <x:v>90</x:v>
      </x:c>
      <x:c r="D883" s="18" t="str">
        <x:v>No</x:v>
      </x:c>
      <x:c r="E883" s="18" t="str">
        <x:v>2025-10 / 2026-09</x:v>
      </x:c>
      <x:c r="F883" s="18" t="str">
        <x:v>Global · sin filtro de idioma</x:v>
      </x:c>
      <x:c r="G883" s="18" t="str">
        <x:v>search_volume</x:v>
      </x:c>
      <x:c r="H883" s="18" t="str">
        <x:v>global-candidates.json</x:v>
      </x:c>
      <x:c r="I883" s="18" t="str">
        <x:v>10181909-1949-0367-0000-d6f424f63198</x:v>
      </x:c>
      <x:c r="J883" s="18" t="str">
        <x:v>No</x:v>
      </x:c>
    </x:row>
    <x:row r="884" ht="34" customHeight="1">
      <x:c r="A884" s="18" t="str">
        <x:v>value-proposition-canvas</x:v>
      </x:c>
      <x:c r="B884" s="18" t="str">
        <x:v>value proposition canvas</x:v>
      </x:c>
      <x:c r="C884" s="19" t="n">
        <x:v>49500</x:v>
      </x:c>
      <x:c r="D884" s="18" t="str">
        <x:v>Sí</x:v>
      </x:c>
      <x:c r="E884" s="18" t="str">
        <x:v>2025-10 / 2026-09</x:v>
      </x:c>
      <x:c r="F884" s="18" t="str">
        <x:v>Global · sin filtro de idioma</x:v>
      </x:c>
      <x:c r="G884" s="18" t="str">
        <x:v>search_volume</x:v>
      </x:c>
      <x:c r="H884" s="18" t="str">
        <x:v>global-candidates.json</x:v>
      </x:c>
      <x:c r="I884" s="18" t="str">
        <x:v>10181909-1949-0367-0000-d6f424f63198</x:v>
      </x:c>
      <x:c r="J884" s="18" t="str">
        <x:v>No</x:v>
      </x:c>
    </x:row>
    <x:row r="885" ht="34" customHeight="1">
      <x:c r="A885" s="18" t="str">
        <x:v>value-proposition-canvas</x:v>
      </x:c>
      <x:c r="B885" s="18" t="str">
        <x:v>value proposition template</x:v>
      </x:c>
      <x:c r="C885" s="19" t="n">
        <x:v>1600</x:v>
      </x:c>
      <x:c r="D885" s="18" t="str">
        <x:v>No</x:v>
      </x:c>
      <x:c r="E885" s="18" t="str">
        <x:v>2025-10 / 2026-09</x:v>
      </x:c>
      <x:c r="F885" s="18" t="str">
        <x:v>Global · sin filtro de idioma</x:v>
      </x:c>
      <x:c r="G885" s="18" t="str">
        <x:v>search_volume</x:v>
      </x:c>
      <x:c r="H885" s="18" t="str">
        <x:v>global-candidates.json</x:v>
      </x:c>
      <x:c r="I885" s="18" t="str">
        <x:v>10181909-1949-0367-0000-d6f424f63198</x:v>
      </x:c>
      <x:c r="J885" s="18" t="str">
        <x:v>No</x:v>
      </x:c>
    </x:row>
    <x:row r="886" ht="34" customHeight="1">
      <x:c r="A886" s="18" t="str">
        <x:v>value-proposition-canvas</x:v>
      </x:c>
      <x:c r="B886" s="18" t="str">
        <x:v>propuesta de valor canvas</x:v>
      </x:c>
      <x:c r="C886" s="19" t="n">
        <x:v>720</x:v>
      </x:c>
      <x:c r="D886" s="18" t="str">
        <x:v>No</x:v>
      </x:c>
      <x:c r="E886" s="18" t="str">
        <x:v>2025-10 / 2026-09</x:v>
      </x:c>
      <x:c r="F886" s="18" t="str">
        <x:v>Global · sin filtro de idioma</x:v>
      </x:c>
      <x:c r="G886" s="18" t="str">
        <x:v>search_volume</x:v>
      </x:c>
      <x:c r="H886" s="18" t="str">
        <x:v>global-candidates.json</x:v>
      </x:c>
      <x:c r="I886" s="18" t="str">
        <x:v>10181909-1949-0367-0000-d6f424f63198</x:v>
      </x:c>
      <x:c r="J886" s="18" t="str">
        <x:v>No</x:v>
      </x:c>
    </x:row>
    <x:row r="887" ht="34" customHeight="1">
      <x:c r="A887" s="18" t="str">
        <x:v>customer-journey-map</x:v>
      </x:c>
      <x:c r="B887" s="18" t="str">
        <x:v>customer journey map</x:v>
      </x:c>
      <x:c r="C887" s="19" t="n">
        <x:v>60500</x:v>
      </x:c>
      <x:c r="D887" s="18" t="str">
        <x:v>Sí</x:v>
      </x:c>
      <x:c r="E887" s="18" t="str">
        <x:v>2025-10 / 2026-09</x:v>
      </x:c>
      <x:c r="F887" s="18" t="str">
        <x:v>Global · sin filtro de idioma</x:v>
      </x:c>
      <x:c r="G887" s="18" t="str">
        <x:v>search_volume</x:v>
      </x:c>
      <x:c r="H887" s="18" t="str">
        <x:v>global-candidates.json</x:v>
      </x:c>
      <x:c r="I887" s="18" t="str">
        <x:v>10181909-1949-0367-0000-d6f424f63198</x:v>
      </x:c>
      <x:c r="J887" s="18" t="str">
        <x:v>No</x:v>
      </x:c>
    </x:row>
    <x:row r="888" ht="34" customHeight="1">
      <x:c r="A888" s="18" t="str">
        <x:v>customer-journey-map</x:v>
      </x:c>
      <x:c r="B888" s="18" t="str">
        <x:v>customer journey template</x:v>
      </x:c>
      <x:c r="C888" s="19" t="n">
        <x:v>1300</x:v>
      </x:c>
      <x:c r="D888" s="18" t="str">
        <x:v>No</x:v>
      </x:c>
      <x:c r="E888" s="18" t="str">
        <x:v>2025-10 / 2026-09</x:v>
      </x:c>
      <x:c r="F888" s="18" t="str">
        <x:v>Global · sin filtro de idioma</x:v>
      </x:c>
      <x:c r="G888" s="18" t="str">
        <x:v>search_volume</x:v>
      </x:c>
      <x:c r="H888" s="18" t="str">
        <x:v>global-candidates.json</x:v>
      </x:c>
      <x:c r="I888" s="18" t="str">
        <x:v>10181909-1949-0367-0000-d6f424f63198</x:v>
      </x:c>
      <x:c r="J888" s="18" t="str">
        <x:v>No</x:v>
      </x:c>
    </x:row>
    <x:row r="889" ht="34" customHeight="1">
      <x:c r="A889" s="18" t="str">
        <x:v>customer-journey-map</x:v>
      </x:c>
      <x:c r="B889" s="18" t="str">
        <x:v>customer journey mapping</x:v>
      </x:c>
      <x:c r="C889" s="19" t="n">
        <x:v>60500</x:v>
      </x:c>
      <x:c r="D889" s="18" t="str">
        <x:v>No</x:v>
      </x:c>
      <x:c r="E889" s="18" t="str">
        <x:v>2025-10 / 2026-09</x:v>
      </x:c>
      <x:c r="F889" s="18" t="str">
        <x:v>Global · sin filtro de idioma</x:v>
      </x:c>
      <x:c r="G889" s="18" t="str">
        <x:v>search_volume</x:v>
      </x:c>
      <x:c r="H889" s="18" t="str">
        <x:v>global-candidates.json</x:v>
      </x:c>
      <x:c r="I889" s="18" t="str">
        <x:v>10181909-1949-0367-0000-d6f424f63198</x:v>
      </x:c>
      <x:c r="J889" s="18" t="str">
        <x:v>No</x:v>
      </x:c>
    </x:row>
    <x:row r="890" ht="34" customHeight="1">
      <x:c r="A890" s="18" t="str">
        <x:v>survey-builder</x:v>
      </x:c>
      <x:c r="B890" s="18" t="str">
        <x:v>survey maker</x:v>
      </x:c>
      <x:c r="C890" s="19" t="n">
        <x:v>8100</x:v>
      </x:c>
      <x:c r="D890" s="18" t="str">
        <x:v>Sí</x:v>
      </x:c>
      <x:c r="E890" s="18" t="str">
        <x:v>2025-10 / 2026-09</x:v>
      </x:c>
      <x:c r="F890" s="18" t="str">
        <x:v>Global · sin filtro de idioma</x:v>
      </x:c>
      <x:c r="G890" s="18" t="str">
        <x:v>search_volume</x:v>
      </x:c>
      <x:c r="H890" s="18" t="str">
        <x:v>global-initial-screen.json</x:v>
      </x:c>
      <x:c r="I890" s="18" t="str">
        <x:v>10181645-1949-0367-0000-721aab5cac1a</x:v>
      </x:c>
      <x:c r="J890" s="18" t="str">
        <x:v>No</x:v>
      </x:c>
    </x:row>
    <x:row r="891" ht="34" customHeight="1">
      <x:c r="A891" s="18" t="str">
        <x:v>survey-builder</x:v>
      </x:c>
      <x:c r="B891" s="18" t="str">
        <x:v>survey creator</x:v>
      </x:c>
      <x:c r="C891" s="19" t="n">
        <x:v>2400</x:v>
      </x:c>
      <x:c r="D891" s="18" t="str">
        <x:v>No</x:v>
      </x:c>
      <x:c r="E891" s="18" t="str">
        <x:v>2025-10 / 2026-09</x:v>
      </x:c>
      <x:c r="F891" s="18" t="str">
        <x:v>Global · sin filtro de idioma</x:v>
      </x:c>
      <x:c r="G891" s="18" t="str">
        <x:v>search_volume</x:v>
      </x:c>
      <x:c r="H891" s="18" t="str">
        <x:v>global-candidates.json</x:v>
      </x:c>
      <x:c r="I891" s="18" t="str">
        <x:v>10181909-1949-0367-0000-d6f424f63198</x:v>
      </x:c>
      <x:c r="J891" s="18" t="str">
        <x:v>No</x:v>
      </x:c>
    </x:row>
    <x:row r="892" ht="34" customHeight="1">
      <x:c r="A892" s="18" t="str">
        <x:v>survey-builder</x:v>
      </x:c>
      <x:c r="B892" s="18" t="str">
        <x:v>crear encuesta</x:v>
      </x:c>
      <x:c r="C892" s="19" t="n">
        <x:v>5400</x:v>
      </x:c>
      <x:c r="D892" s="18" t="str">
        <x:v>No</x:v>
      </x:c>
      <x:c r="E892" s="18" t="str">
        <x:v>2025-10 / 2026-09</x:v>
      </x:c>
      <x:c r="F892" s="18" t="str">
        <x:v>Global · sin filtro de idioma</x:v>
      </x:c>
      <x:c r="G892" s="18" t="str">
        <x:v>search_volume</x:v>
      </x:c>
      <x:c r="H892" s="18" t="str">
        <x:v>global-candidates.json</x:v>
      </x:c>
      <x:c r="I892" s="18" t="str">
        <x:v>10181909-1949-0367-0000-d6f424f63198</x:v>
      </x:c>
      <x:c r="J892" s="18" t="str">
        <x:v>No</x:v>
      </x:c>
    </x:row>
    <x:row r="893" ht="34" customHeight="1">
      <x:c r="A893" s="18" t="str">
        <x:v>likert-survey-analyzer</x:v>
      </x:c>
      <x:c r="B893" s="18" t="str">
        <x:v>likert scale analysis</x:v>
      </x:c>
      <x:c r="C893" s="19" t="n">
        <x:v>480</x:v>
      </x:c>
      <x:c r="D893" s="18" t="str">
        <x:v>Sí</x:v>
      </x:c>
      <x:c r="E893" s="18" t="str">
        <x:v>2025-10 / 2026-09</x:v>
      </x:c>
      <x:c r="F893" s="18" t="str">
        <x:v>Global · sin filtro de idioma</x:v>
      </x:c>
      <x:c r="G893" s="18" t="str">
        <x:v>search_volume</x:v>
      </x:c>
      <x:c r="H893" s="18" t="str">
        <x:v>global-candidates.json</x:v>
      </x:c>
      <x:c r="I893" s="18" t="str">
        <x:v>10181909-1949-0367-0000-d6f424f63198</x:v>
      </x:c>
      <x:c r="J893" s="18" t="str">
        <x:v>No</x:v>
      </x:c>
    </x:row>
    <x:row r="894" ht="34" customHeight="1">
      <x:c r="A894" s="18" t="str">
        <x:v>likert-survey-analyzer</x:v>
      </x:c>
      <x:c r="B894" s="18" t="str">
        <x:v>likert scale calculator</x:v>
      </x:c>
      <x:c r="C894" s="19" t="n">
        <x:v>110</x:v>
      </x:c>
      <x:c r="D894" s="18" t="str">
        <x:v>No</x:v>
      </x:c>
      <x:c r="E894" s="18" t="str">
        <x:v>2025-10 / 2026-09</x:v>
      </x:c>
      <x:c r="F894" s="18" t="str">
        <x:v>Global · sin filtro de idioma</x:v>
      </x:c>
      <x:c r="G894" s="18" t="str">
        <x:v>search_volume</x:v>
      </x:c>
      <x:c r="H894" s="18" t="str">
        <x:v>global-candidates.json</x:v>
      </x:c>
      <x:c r="I894" s="18" t="str">
        <x:v>10181909-1949-0367-0000-d6f424f63198</x:v>
      </x:c>
      <x:c r="J894" s="18" t="str">
        <x:v>No</x:v>
      </x:c>
    </x:row>
    <x:row r="895" ht="34" customHeight="1">
      <x:c r="A895" s="18" t="str">
        <x:v>likert-survey-analyzer</x:v>
      </x:c>
      <x:c r="B895" s="18" t="str">
        <x:v>survey analysis tool</x:v>
      </x:c>
      <x:c r="C895" s="19" t="n">
        <x:v>170</x:v>
      </x:c>
      <x:c r="D895" s="18" t="str">
        <x:v>No</x:v>
      </x:c>
      <x:c r="E895" s="18" t="str">
        <x:v>2025-10 / 2026-09</x:v>
      </x:c>
      <x:c r="F895" s="18" t="str">
        <x:v>Global · sin filtro de idioma</x:v>
      </x:c>
      <x:c r="G895" s="18" t="str">
        <x:v>search_volume</x:v>
      </x:c>
      <x:c r="H895" s="18" t="str">
        <x:v>global-candidates.json</x:v>
      </x:c>
      <x:c r="I895" s="18" t="str">
        <x:v>10181909-1949-0367-0000-d6f424f63198</x:v>
      </x:c>
      <x:c r="J895" s="18" t="str">
        <x:v>No</x:v>
      </x:c>
    </x:row>
    <x:row r="896" ht="34" customHeight="1">
      <x:c r="A896" s="18" t="str">
        <x:v>meeting-retrospective</x:v>
      </x:c>
      <x:c r="B896" s="18" t="str">
        <x:v>retrospective tool</x:v>
      </x:c>
      <x:c r="C896" s="19" t="n">
        <x:v>260</x:v>
      </x:c>
      <x:c r="D896" s="18" t="str">
        <x:v>No</x:v>
      </x:c>
      <x:c r="E896" s="18" t="str">
        <x:v>2025-10 / 2026-09</x:v>
      </x:c>
      <x:c r="F896" s="18" t="str">
        <x:v>Global · sin filtro de idioma</x:v>
      </x:c>
      <x:c r="G896" s="18" t="str">
        <x:v>search_volume</x:v>
      </x:c>
      <x:c r="H896" s="18" t="str">
        <x:v>global-candidates.json</x:v>
      </x:c>
      <x:c r="I896" s="18" t="str">
        <x:v>10181909-1949-0367-0000-d6f424f63198</x:v>
      </x:c>
      <x:c r="J896" s="18" t="str">
        <x:v>No</x:v>
      </x:c>
    </x:row>
    <x:row r="897" ht="34" customHeight="1">
      <x:c r="A897" s="18" t="str">
        <x:v>meeting-retrospective</x:v>
      </x:c>
      <x:c r="B897" s="18" t="str">
        <x:v>sprint retrospective</x:v>
      </x:c>
      <x:c r="C897" s="19" t="n">
        <x:v>6600</x:v>
      </x:c>
      <x:c r="D897" s="18" t="str">
        <x:v>Sí</x:v>
      </x:c>
      <x:c r="E897" s="18" t="str">
        <x:v>2025-10 / 2026-09</x:v>
      </x:c>
      <x:c r="F897" s="18" t="str">
        <x:v>Global · sin filtro de idioma</x:v>
      </x:c>
      <x:c r="G897" s="18" t="str">
        <x:v>search_volume</x:v>
      </x:c>
      <x:c r="H897" s="18" t="str">
        <x:v>global-candidates.json</x:v>
      </x:c>
      <x:c r="I897" s="18" t="str">
        <x:v>10181909-1949-0367-0000-d6f424f63198</x:v>
      </x:c>
      <x:c r="J897" s="18" t="str">
        <x:v>No</x:v>
      </x:c>
    </x:row>
    <x:row r="898" ht="34" customHeight="1">
      <x:c r="A898" s="18" t="str">
        <x:v>meeting-retrospective</x:v>
      </x:c>
      <x:c r="B898" s="18" t="str">
        <x:v>retrospective board</x:v>
      </x:c>
      <x:c r="C898" s="19" t="n">
        <x:v>720</x:v>
      </x:c>
      <x:c r="D898" s="18" t="str">
        <x:v>No</x:v>
      </x:c>
      <x:c r="E898" s="18" t="str">
        <x:v>2025-10 / 2026-09</x:v>
      </x:c>
      <x:c r="F898" s="18" t="str">
        <x:v>Global · sin filtro de idioma</x:v>
      </x:c>
      <x:c r="G898" s="18" t="str">
        <x:v>search_volume</x:v>
      </x:c>
      <x:c r="H898" s="18" t="str">
        <x:v>global-candidates.json</x:v>
      </x:c>
      <x:c r="I898" s="18" t="str">
        <x:v>10181909-1949-0367-0000-d6f424f63198</x:v>
      </x:c>
      <x:c r="J898" s="18" t="str">
        <x:v>No</x:v>
      </x:c>
    </x:row>
    <x:row r="899" ht="34" customHeight="1">
      <x:c r="A899" s="18" t="str">
        <x:v>timeboxing-planner</x:v>
      </x:c>
      <x:c r="B899" s="18" t="str">
        <x:v>time blocking planner</x:v>
      </x:c>
      <x:c r="C899" s="19" t="n">
        <x:v>3600</x:v>
      </x:c>
      <x:c r="D899" s="18" t="str">
        <x:v>Sí</x:v>
      </x:c>
      <x:c r="E899" s="18" t="str">
        <x:v>2025-10 / 2026-09</x:v>
      </x:c>
      <x:c r="F899" s="18" t="str">
        <x:v>Global · sin filtro de idioma</x:v>
      </x:c>
      <x:c r="G899" s="18" t="str">
        <x:v>search_volume</x:v>
      </x:c>
      <x:c r="H899" s="18" t="str">
        <x:v>global-candidates.json</x:v>
      </x:c>
      <x:c r="I899" s="18" t="str">
        <x:v>10181909-1949-0367-0000-d6f424f63198</x:v>
      </x:c>
      <x:c r="J899" s="18" t="str">
        <x:v>No</x:v>
      </x:c>
    </x:row>
    <x:row r="900" ht="34" customHeight="1">
      <x:c r="A900" s="18" t="str">
        <x:v>timeboxing-planner</x:v>
      </x:c>
      <x:c r="B900" s="18" t="str">
        <x:v>timebox planner</x:v>
      </x:c>
      <x:c r="C900" s="19" t="n">
        <x:v>480</x:v>
      </x:c>
      <x:c r="D900" s="18" t="str">
        <x:v>No</x:v>
      </x:c>
      <x:c r="E900" s="18" t="str">
        <x:v>2025-10 / 2026-09</x:v>
      </x:c>
      <x:c r="F900" s="18" t="str">
        <x:v>Global · sin filtro de idioma</x:v>
      </x:c>
      <x:c r="G900" s="18" t="str">
        <x:v>search_volume</x:v>
      </x:c>
      <x:c r="H900" s="18" t="str">
        <x:v>global-candidates.json</x:v>
      </x:c>
      <x:c r="I900" s="18" t="str">
        <x:v>10181909-1949-0367-0000-d6f424f63198</x:v>
      </x:c>
      <x:c r="J900" s="18" t="str">
        <x:v>No</x:v>
      </x:c>
    </x:row>
    <x:row r="901" ht="34" customHeight="1">
      <x:c r="A901" s="18" t="str">
        <x:v>timeboxing-planner</x:v>
      </x:c>
      <x:c r="B901" s="18" t="str">
        <x:v>time blocking app</x:v>
      </x:c>
      <x:c r="C901" s="19" t="n">
        <x:v>2400</x:v>
      </x:c>
      <x:c r="D901" s="18" t="str">
        <x:v>No</x:v>
      </x:c>
      <x:c r="E901" s="18" t="str">
        <x:v>2025-10 / 2026-09</x:v>
      </x:c>
      <x:c r="F901" s="18" t="str">
        <x:v>Global · sin filtro de idioma</x:v>
      </x:c>
      <x:c r="G901" s="18" t="str">
        <x:v>search_volume</x:v>
      </x:c>
      <x:c r="H901" s="18" t="str">
        <x:v>global-candidates.json</x:v>
      </x:c>
      <x:c r="I901" s="18" t="str">
        <x:v>10181909-1949-0367-0000-d6f424f63198</x:v>
      </x:c>
      <x:c r="J901" s="18" t="str">
        <x:v>No</x:v>
      </x:c>
    </x:row>
    <x:row r="902" ht="34" customHeight="1">
      <x:c r="A902" s="18" t="str">
        <x:v>decision-randomizer</x:v>
      </x:c>
      <x:c r="B902" s="18" t="str">
        <x:v>weighted random picker</x:v>
      </x:c>
      <x:c r="C902" s="19" t="n">
        <x:v>70</x:v>
      </x:c>
      <x:c r="D902" s="18" t="str">
        <x:v>No</x:v>
      </x:c>
      <x:c r="E902" s="18" t="str">
        <x:v>2025-10 / 2026-09</x:v>
      </x:c>
      <x:c r="F902" s="18" t="str">
        <x:v>Global · sin filtro de idioma</x:v>
      </x:c>
      <x:c r="G902" s="18" t="str">
        <x:v>search_volume</x:v>
      </x:c>
      <x:c r="H902" s="18" t="str">
        <x:v>global-candidates.json</x:v>
      </x:c>
      <x:c r="I902" s="18" t="str">
        <x:v>10181909-1949-0367-0000-d6f424f63198</x:v>
      </x:c>
      <x:c r="J902" s="18" t="str">
        <x:v>No</x:v>
      </x:c>
    </x:row>
    <x:row r="903" ht="34" customHeight="1">
      <x:c r="A903" s="18" t="str">
        <x:v>decision-randomizer</x:v>
      </x:c>
      <x:c r="B903" s="18" t="str">
        <x:v>random picker weighted</x:v>
      </x:c>
      <x:c r="C903" s="19" t="str">
        <x:v>n.a.</x:v>
      </x:c>
      <x:c r="D903" s="18" t="str">
        <x:v>No</x:v>
      </x:c>
      <x:c r="E903" s="18" t="str">
        <x:v>n.a.</x:v>
      </x:c>
      <x:c r="F903" s="18" t="str">
        <x:v>Global · sin filtro de idioma</x:v>
      </x:c>
      <x:c r="G903" s="18" t="str">
        <x:v>search_volume</x:v>
      </x:c>
      <x:c r="H903" s="18" t="str">
        <x:v>global-candidates.json</x:v>
      </x:c>
      <x:c r="I903" s="18" t="str">
        <x:v>10181909-1949-0367-0000-d6f424f63198</x:v>
      </x:c>
      <x:c r="J903" s="18" t="str">
        <x:v>No</x:v>
      </x:c>
    </x:row>
    <x:row r="904" ht="34" customHeight="1">
      <x:c r="A904" s="18" t="str">
        <x:v>decision-randomizer</x:v>
      </x:c>
      <x:c r="B904" s="18" t="str">
        <x:v>weighted wheel</x:v>
      </x:c>
      <x:c r="C904" s="19" t="n">
        <x:v>9900</x:v>
      </x:c>
      <x:c r="D904" s="18" t="str">
        <x:v>Sí</x:v>
      </x:c>
      <x:c r="E904" s="18" t="str">
        <x:v>2025-10 / 2026-09</x:v>
      </x:c>
      <x:c r="F904" s="18" t="str">
        <x:v>Global · sin filtro de idioma</x:v>
      </x:c>
      <x:c r="G904" s="18" t="str">
        <x:v>search_volume</x:v>
      </x:c>
      <x:c r="H904" s="18" t="str">
        <x:v>global-candidates.json</x:v>
      </x:c>
      <x:c r="I904" s="18" t="str">
        <x:v>10181909-1949-0367-0000-d6f424f63198</x:v>
      </x:c>
      <x:c r="J904" s="18" t="str">
        <x:v>No</x:v>
      </x:c>
    </x:row>
    <x:row r="905" ht="34" customHeight="1">
      <x:c r="A905" s="18" t="str">
        <x:v>round-table-agenda</x:v>
      </x:c>
      <x:c r="B905" s="18" t="str">
        <x:v>meeting agenda template</x:v>
      </x:c>
      <x:c r="C905" s="19" t="n">
        <x:v>33100</x:v>
      </x:c>
      <x:c r="D905" s="18" t="str">
        <x:v>Sí</x:v>
      </x:c>
      <x:c r="E905" s="18" t="str">
        <x:v>2025-10 / 2026-09</x:v>
      </x:c>
      <x:c r="F905" s="18" t="str">
        <x:v>Global · sin filtro de idioma</x:v>
      </x:c>
      <x:c r="G905" s="18" t="str">
        <x:v>search_volume</x:v>
      </x:c>
      <x:c r="H905" s="18" t="str">
        <x:v>global-candidates.json</x:v>
      </x:c>
      <x:c r="I905" s="18" t="str">
        <x:v>10181909-1949-0367-0000-d6f424f63198</x:v>
      </x:c>
      <x:c r="J905" s="18" t="str">
        <x:v>No</x:v>
      </x:c>
    </x:row>
    <x:row r="906" ht="34" customHeight="1">
      <x:c r="A906" s="18" t="str">
        <x:v>round-table-agenda</x:v>
      </x:c>
      <x:c r="B906" s="18" t="str">
        <x:v>agenda maker</x:v>
      </x:c>
      <x:c r="C906" s="19" t="n">
        <x:v>260</x:v>
      </x:c>
      <x:c r="D906" s="18" t="str">
        <x:v>No</x:v>
      </x:c>
      <x:c r="E906" s="18" t="str">
        <x:v>2025-10 / 2026-09</x:v>
      </x:c>
      <x:c r="F906" s="18" t="str">
        <x:v>Global · sin filtro de idioma</x:v>
      </x:c>
      <x:c r="G906" s="18" t="str">
        <x:v>search_volume</x:v>
      </x:c>
      <x:c r="H906" s="18" t="str">
        <x:v>global-candidates.json</x:v>
      </x:c>
      <x:c r="I906" s="18" t="str">
        <x:v>10181909-1949-0367-0000-d6f424f63198</x:v>
      </x:c>
      <x:c r="J906" s="18" t="str">
        <x:v>No</x:v>
      </x:c>
    </x:row>
    <x:row r="907" ht="34" customHeight="1">
      <x:c r="A907" s="18" t="str">
        <x:v>round-table-agenda</x:v>
      </x:c>
      <x:c r="B907" s="18" t="str">
        <x:v>meeting agenda builder</x:v>
      </x:c>
      <x:c r="C907" s="19" t="n">
        <x:v>20</x:v>
      </x:c>
      <x:c r="D907" s="18" t="str">
        <x:v>No</x:v>
      </x:c>
      <x:c r="E907" s="18" t="str">
        <x:v>2025-10 / 2026-09</x:v>
      </x:c>
      <x:c r="F907" s="18" t="str">
        <x:v>Global · sin filtro de idioma</x:v>
      </x:c>
      <x:c r="G907" s="18" t="str">
        <x:v>search_volume</x:v>
      </x:c>
      <x:c r="H907" s="18" t="str">
        <x:v>global-candidates.json</x:v>
      </x:c>
      <x:c r="I907" s="18" t="str">
        <x:v>10181909-1949-0367-0000-d6f424f63198</x:v>
      </x:c>
      <x:c r="J907" s="18" t="str">
        <x:v>No</x:v>
      </x:c>
    </x:row>
    <x:row r="908" ht="34" customHeight="1">
      <x:c r="A908" s="18" t="str">
        <x:v>document-redline-merger</x:v>
      </x:c>
      <x:c r="B908" s="18" t="str">
        <x:v>document comparison</x:v>
      </x:c>
      <x:c r="C908" s="19" t="n">
        <x:v>6600</x:v>
      </x:c>
      <x:c r="D908" s="18" t="str">
        <x:v>Sí</x:v>
      </x:c>
      <x:c r="E908" s="18" t="str">
        <x:v>2025-10 / 2026-09</x:v>
      </x:c>
      <x:c r="F908" s="18" t="str">
        <x:v>Global · sin filtro de idioma</x:v>
      </x:c>
      <x:c r="G908" s="18" t="str">
        <x:v>search_volume</x:v>
      </x:c>
      <x:c r="H908" s="18" t="str">
        <x:v>global-candidates.json</x:v>
      </x:c>
      <x:c r="I908" s="18" t="str">
        <x:v>10181909-1949-0367-0000-d6f424f63198</x:v>
      </x:c>
      <x:c r="J908" s="18" t="str">
        <x:v>No</x:v>
      </x:c>
    </x:row>
    <x:row r="909" ht="34" customHeight="1">
      <x:c r="A909" s="18" t="str">
        <x:v>document-redline-merger</x:v>
      </x:c>
      <x:c r="B909" s="18" t="str">
        <x:v>word compare</x:v>
      </x:c>
      <x:c r="C909" s="19" t="n">
        <x:v>2400</x:v>
      </x:c>
      <x:c r="D909" s="18" t="str">
        <x:v>No</x:v>
      </x:c>
      <x:c r="E909" s="18" t="str">
        <x:v>2025-10 / 2026-09</x:v>
      </x:c>
      <x:c r="F909" s="18" t="str">
        <x:v>Global · sin filtro de idioma</x:v>
      </x:c>
      <x:c r="G909" s="18" t="str">
        <x:v>search_volume</x:v>
      </x:c>
      <x:c r="H909" s="18" t="str">
        <x:v>global-candidates.json</x:v>
      </x:c>
      <x:c r="I909" s="18" t="str">
        <x:v>10181909-1949-0367-0000-d6f424f63198</x:v>
      </x:c>
      <x:c r="J909" s="18" t="str">
        <x:v>No</x:v>
      </x:c>
    </x:row>
    <x:row r="910" ht="34" customHeight="1">
      <x:c r="A910" s="18" t="str">
        <x:v>document-redline-merger</x:v>
      </x:c>
      <x:c r="B910" s="18" t="str">
        <x:v>compare documents</x:v>
      </x:c>
      <x:c r="C910" s="19" t="n">
        <x:v>6600</x:v>
      </x:c>
      <x:c r="D910" s="18" t="str">
        <x:v>No</x:v>
      </x:c>
      <x:c r="E910" s="18" t="str">
        <x:v>2025-10 / 2026-09</x:v>
      </x:c>
      <x:c r="F910" s="18" t="str">
        <x:v>Global · sin filtro de idioma</x:v>
      </x:c>
      <x:c r="G910" s="18" t="str">
        <x:v>search_volume</x:v>
      </x:c>
      <x:c r="H910" s="18" t="str">
        <x:v>global-candidates.json</x:v>
      </x:c>
      <x:c r="I910" s="18" t="str">
        <x:v>10181909-1949-0367-0000-d6f424f63198</x:v>
      </x:c>
      <x:c r="J910" s="18" t="str">
        <x:v>No</x:v>
      </x:c>
    </x:row>
    <x:row r="911" ht="34" customHeight="1">
      <x:c r="A911" s="18" t="str">
        <x:v>document-mail-merge</x:v>
      </x:c>
      <x:c r="B911" s="18" t="str">
        <x:v>mail merge</x:v>
      </x:c>
      <x:c r="C911" s="19" t="n">
        <x:v>90500</x:v>
      </x:c>
      <x:c r="D911" s="18" t="str">
        <x:v>Sí</x:v>
      </x:c>
      <x:c r="E911" s="18" t="str">
        <x:v>2025-10 / 2026-09</x:v>
      </x:c>
      <x:c r="F911" s="18" t="str">
        <x:v>Global · sin filtro de idioma</x:v>
      </x:c>
      <x:c r="G911" s="18" t="str">
        <x:v>search_volume</x:v>
      </x:c>
      <x:c r="H911" s="18" t="str">
        <x:v>global-candidates.json</x:v>
      </x:c>
      <x:c r="I911" s="18" t="str">
        <x:v>10181909-1949-0367-0000-d6f424f63198</x:v>
      </x:c>
      <x:c r="J911" s="18" t="str">
        <x:v>No</x:v>
      </x:c>
    </x:row>
    <x:row r="912" ht="34" customHeight="1">
      <x:c r="A912" s="18" t="str">
        <x:v>document-mail-merge</x:v>
      </x:c>
      <x:c r="B912" s="18" t="str">
        <x:v>mail merge online</x:v>
      </x:c>
      <x:c r="C912" s="19" t="n">
        <x:v>170</x:v>
      </x:c>
      <x:c r="D912" s="18" t="str">
        <x:v>No</x:v>
      </x:c>
      <x:c r="E912" s="18" t="str">
        <x:v>2025-10 / 2026-09</x:v>
      </x:c>
      <x:c r="F912" s="18" t="str">
        <x:v>Global · sin filtro de idioma</x:v>
      </x:c>
      <x:c r="G912" s="18" t="str">
        <x:v>search_volume</x:v>
      </x:c>
      <x:c r="H912" s="18" t="str">
        <x:v>global-candidates.json</x:v>
      </x:c>
      <x:c r="I912" s="18" t="str">
        <x:v>10181909-1949-0367-0000-d6f424f63198</x:v>
      </x:c>
      <x:c r="J912" s="18" t="str">
        <x:v>No</x:v>
      </x:c>
    </x:row>
    <x:row r="913" ht="34" customHeight="1">
      <x:c r="A913" s="18" t="str">
        <x:v>document-mail-merge</x:v>
      </x:c>
      <x:c r="B913" s="18" t="str">
        <x:v>combinar correspondencia</x:v>
      </x:c>
      <x:c r="C913" s="19" t="n">
        <x:v>1000</x:v>
      </x:c>
      <x:c r="D913" s="18" t="str">
        <x:v>No</x:v>
      </x:c>
      <x:c r="E913" s="18" t="str">
        <x:v>2025-10 / 2026-09</x:v>
      </x:c>
      <x:c r="F913" s="18" t="str">
        <x:v>Global · sin filtro de idioma</x:v>
      </x:c>
      <x:c r="G913" s="18" t="str">
        <x:v>search_volume</x:v>
      </x:c>
      <x:c r="H913" s="18" t="str">
        <x:v>global-candidates.json</x:v>
      </x:c>
      <x:c r="I913" s="18" t="str">
        <x:v>10181909-1949-0367-0000-d6f424f63198</x:v>
      </x:c>
      <x:c r="J913" s="18" t="str">
        <x:v>No</x:v>
      </x:c>
    </x:row>
    <x:row r="914" ht="34" customHeight="1">
      <x:c r="A914" s="18" t="str">
        <x:v>document-template-engine</x:v>
      </x:c>
      <x:c r="B914" s="18" t="str">
        <x:v>document automation</x:v>
      </x:c>
      <x:c r="C914" s="19" t="n">
        <x:v>1000</x:v>
      </x:c>
      <x:c r="D914" s="18" t="str">
        <x:v>Sí</x:v>
      </x:c>
      <x:c r="E914" s="18" t="str">
        <x:v>2025-10 / 2026-09</x:v>
      </x:c>
      <x:c r="F914" s="18" t="str">
        <x:v>Global · sin filtro de idioma</x:v>
      </x:c>
      <x:c r="G914" s="18" t="str">
        <x:v>search_volume</x:v>
      </x:c>
      <x:c r="H914" s="18" t="str">
        <x:v>global-candidates.json</x:v>
      </x:c>
      <x:c r="I914" s="18" t="str">
        <x:v>10181909-1949-0367-0000-d6f424f63198</x:v>
      </x:c>
      <x:c r="J914" s="18" t="str">
        <x:v>No</x:v>
      </x:c>
    </x:row>
    <x:row r="915" ht="34" customHeight="1">
      <x:c r="A915" s="18" t="str">
        <x:v>document-template-engine</x:v>
      </x:c>
      <x:c r="B915" s="18" t="str">
        <x:v>document template generator</x:v>
      </x:c>
      <x:c r="C915" s="19" t="n">
        <x:v>30</x:v>
      </x:c>
      <x:c r="D915" s="18" t="str">
        <x:v>No</x:v>
      </x:c>
      <x:c r="E915" s="18" t="str">
        <x:v>2025-10 / 2026-09</x:v>
      </x:c>
      <x:c r="F915" s="18" t="str">
        <x:v>Global · sin filtro de idioma</x:v>
      </x:c>
      <x:c r="G915" s="18" t="str">
        <x:v>search_volume</x:v>
      </x:c>
      <x:c r="H915" s="18" t="str">
        <x:v>global-candidates.json</x:v>
      </x:c>
      <x:c r="I915" s="18" t="str">
        <x:v>10181909-1949-0367-0000-d6f424f63198</x:v>
      </x:c>
      <x:c r="J915" s="18" t="str">
        <x:v>No</x:v>
      </x:c>
    </x:row>
    <x:row r="916" ht="34" customHeight="1">
      <x:c r="A916" s="18" t="str">
        <x:v>document-template-engine</x:v>
      </x:c>
      <x:c r="B916" s="18" t="str">
        <x:v>template document</x:v>
      </x:c>
      <x:c r="C916" s="19" t="n">
        <x:v>880</x:v>
      </x:c>
      <x:c r="D916" s="18" t="str">
        <x:v>No</x:v>
      </x:c>
      <x:c r="E916" s="18" t="str">
        <x:v>2025-10 / 2026-09</x:v>
      </x:c>
      <x:c r="F916" s="18" t="str">
        <x:v>Global · sin filtro de idioma</x:v>
      </x:c>
      <x:c r="G916" s="18" t="str">
        <x:v>search_volume</x:v>
      </x:c>
      <x:c r="H916" s="18" t="str">
        <x:v>global-candidates.json</x:v>
      </x:c>
      <x:c r="I916" s="18" t="str">
        <x:v>10181909-1949-0367-0000-d6f424f63198</x:v>
      </x:c>
      <x:c r="J916" s="18" t="str">
        <x:v>No</x:v>
      </x:c>
    </x:row>
    <x:row r="917" ht="34" customHeight="1">
      <x:c r="A917" s="18" t="str">
        <x:v>pdf-imposition</x:v>
      </x:c>
      <x:c r="B917" s="18" t="str">
        <x:v>pdf imposition</x:v>
      </x:c>
      <x:c r="C917" s="19" t="n">
        <x:v>720</x:v>
      </x:c>
      <x:c r="D917" s="18" t="str">
        <x:v>No</x:v>
      </x:c>
      <x:c r="E917" s="18" t="str">
        <x:v>2025-10 / 2026-09</x:v>
      </x:c>
      <x:c r="F917" s="18" t="str">
        <x:v>Global · sin filtro de idioma</x:v>
      </x:c>
      <x:c r="G917" s="18" t="str">
        <x:v>search_volume</x:v>
      </x:c>
      <x:c r="H917" s="18" t="str">
        <x:v>global-candidates.json</x:v>
      </x:c>
      <x:c r="I917" s="18" t="str">
        <x:v>10181909-1949-0367-0000-d6f424f63198</x:v>
      </x:c>
      <x:c r="J917" s="18" t="str">
        <x:v>No</x:v>
      </x:c>
    </x:row>
    <x:row r="918" ht="34" customHeight="1">
      <x:c r="A918" s="18" t="str">
        <x:v>pdf-imposition</x:v>
      </x:c>
      <x:c r="B918" s="18" t="str">
        <x:v>booklet maker</x:v>
      </x:c>
      <x:c r="C918" s="19" t="n">
        <x:v>14800</x:v>
      </x:c>
      <x:c r="D918" s="18" t="str">
        <x:v>No</x:v>
      </x:c>
      <x:c r="E918" s="18" t="str">
        <x:v>2025-10 / 2026-09</x:v>
      </x:c>
      <x:c r="F918" s="18" t="str">
        <x:v>Global · sin filtro de idioma</x:v>
      </x:c>
      <x:c r="G918" s="18" t="str">
        <x:v>search_volume</x:v>
      </x:c>
      <x:c r="H918" s="18" t="str">
        <x:v>global-candidates.json</x:v>
      </x:c>
      <x:c r="I918" s="18" t="str">
        <x:v>10181909-1949-0367-0000-d6f424f63198</x:v>
      </x:c>
      <x:c r="J918" s="18" t="str">
        <x:v>No</x:v>
      </x:c>
    </x:row>
    <x:row r="919" ht="34" customHeight="1">
      <x:c r="A919" s="18" t="str">
        <x:v>pdf-imposition</x:v>
      </x:c>
      <x:c r="B919" s="18" t="str">
        <x:v>pdf booklet</x:v>
      </x:c>
      <x:c r="C919" s="19" t="n">
        <x:v>33100</x:v>
      </x:c>
      <x:c r="D919" s="18" t="str">
        <x:v>Sí</x:v>
      </x:c>
      <x:c r="E919" s="18" t="str">
        <x:v>2025-10 / 2026-09</x:v>
      </x:c>
      <x:c r="F919" s="18" t="str">
        <x:v>Global · sin filtro de idioma</x:v>
      </x:c>
      <x:c r="G919" s="18" t="str">
        <x:v>search_volume</x:v>
      </x:c>
      <x:c r="H919" s="18" t="str">
        <x:v>global-candidates.json</x:v>
      </x:c>
      <x:c r="I919" s="18" t="str">
        <x:v>10181909-1949-0367-0000-d6f424f63198</x:v>
      </x:c>
      <x:c r="J919" s="18" t="str">
        <x:v>No</x:v>
      </x:c>
    </x:row>
    <x:row r="920" ht="34" customHeight="1">
      <x:c r="A920" s="18" t="str">
        <x:v>pdf-digital-signature-validator</x:v>
      </x:c>
      <x:c r="B920" s="18" t="str">
        <x:v>validate pdf signature</x:v>
      </x:c>
      <x:c r="C920" s="19" t="n">
        <x:v>9900</x:v>
      </x:c>
      <x:c r="D920" s="18" t="str">
        <x:v>Sí</x:v>
      </x:c>
      <x:c r="E920" s="18" t="str">
        <x:v>2025-10 / 2026-09</x:v>
      </x:c>
      <x:c r="F920" s="18" t="str">
        <x:v>Global · sin filtro de idioma</x:v>
      </x:c>
      <x:c r="G920" s="18" t="str">
        <x:v>search_volume</x:v>
      </x:c>
      <x:c r="H920" s="18" t="str">
        <x:v>global-candidates.json</x:v>
      </x:c>
      <x:c r="I920" s="18" t="str">
        <x:v>10181909-1949-0367-0000-d6f424f63198</x:v>
      </x:c>
      <x:c r="J920" s="18" t="str">
        <x:v>No</x:v>
      </x:c>
    </x:row>
    <x:row r="921" ht="34" customHeight="1">
      <x:c r="A921" s="18" t="str">
        <x:v>pdf-digital-signature-validator</x:v>
      </x:c>
      <x:c r="B921" s="18" t="str">
        <x:v>pdf signature validator</x:v>
      </x:c>
      <x:c r="C921" s="19" t="n">
        <x:v>90</x:v>
      </x:c>
      <x:c r="D921" s="18" t="str">
        <x:v>No</x:v>
      </x:c>
      <x:c r="E921" s="18" t="str">
        <x:v>2025-10 / 2026-09</x:v>
      </x:c>
      <x:c r="F921" s="18" t="str">
        <x:v>Global · sin filtro de idioma</x:v>
      </x:c>
      <x:c r="G921" s="18" t="str">
        <x:v>search_volume</x:v>
      </x:c>
      <x:c r="H921" s="18" t="str">
        <x:v>global-candidates.json</x:v>
      </x:c>
      <x:c r="I921" s="18" t="str">
        <x:v>10181909-1949-0367-0000-d6f424f63198</x:v>
      </x:c>
      <x:c r="J921" s="18" t="str">
        <x:v>No</x:v>
      </x:c>
    </x:row>
    <x:row r="922" ht="34" customHeight="1">
      <x:c r="A922" s="18" t="str">
        <x:v>pdf-digital-signature-validator</x:v>
      </x:c>
      <x:c r="B922" s="18" t="str">
        <x:v>check pdf signature</x:v>
      </x:c>
      <x:c r="C922" s="19" t="n">
        <x:v>140</x:v>
      </x:c>
      <x:c r="D922" s="18" t="str">
        <x:v>No</x:v>
      </x:c>
      <x:c r="E922" s="18" t="str">
        <x:v>2025-10 / 2026-09</x:v>
      </x:c>
      <x:c r="F922" s="18" t="str">
        <x:v>Global · sin filtro de idioma</x:v>
      </x:c>
      <x:c r="G922" s="18" t="str">
        <x:v>search_volume</x:v>
      </x:c>
      <x:c r="H922" s="18" t="str">
        <x:v>global-candidates.json</x:v>
      </x:c>
      <x:c r="I922" s="18" t="str">
        <x:v>10181909-1949-0367-0000-d6f424f63198</x:v>
      </x:c>
      <x:c r="J922" s="18" t="str">
        <x:v>No</x:v>
      </x:c>
    </x:row>
    <x:row r="923" ht="34" customHeight="1">
      <x:c r="A923" s="18" t="str">
        <x:v>pdf-layer-manager</x:v>
      </x:c>
      <x:c r="B923" s="18" t="str">
        <x:v>pdf layers</x:v>
      </x:c>
      <x:c r="C923" s="19" t="n">
        <x:v>720</x:v>
      </x:c>
      <x:c r="D923" s="18" t="str">
        <x:v>Sí</x:v>
      </x:c>
      <x:c r="E923" s="18" t="str">
        <x:v>2025-10 / 2026-09</x:v>
      </x:c>
      <x:c r="F923" s="18" t="str">
        <x:v>Global · sin filtro de idioma</x:v>
      </x:c>
      <x:c r="G923" s="18" t="str">
        <x:v>search_volume</x:v>
      </x:c>
      <x:c r="H923" s="18" t="str">
        <x:v>global-candidates.json</x:v>
      </x:c>
      <x:c r="I923" s="18" t="str">
        <x:v>10181909-1949-0367-0000-d6f424f63198</x:v>
      </x:c>
      <x:c r="J923" s="18" t="str">
        <x:v>No</x:v>
      </x:c>
    </x:row>
    <x:row r="924" ht="34" customHeight="1">
      <x:c r="A924" s="18" t="str">
        <x:v>pdf-layer-manager</x:v>
      </x:c>
      <x:c r="B924" s="18" t="str">
        <x:v>pdf layer editor</x:v>
      </x:c>
      <x:c r="C924" s="19" t="n">
        <x:v>170</x:v>
      </x:c>
      <x:c r="D924" s="18" t="str">
        <x:v>No</x:v>
      </x:c>
      <x:c r="E924" s="18" t="str">
        <x:v>2025-10 / 2026-09</x:v>
      </x:c>
      <x:c r="F924" s="18" t="str">
        <x:v>Global · sin filtro de idioma</x:v>
      </x:c>
      <x:c r="G924" s="18" t="str">
        <x:v>search_volume</x:v>
      </x:c>
      <x:c r="H924" s="18" t="str">
        <x:v>global-candidates.json</x:v>
      </x:c>
      <x:c r="I924" s="18" t="str">
        <x:v>10181909-1949-0367-0000-d6f424f63198</x:v>
      </x:c>
      <x:c r="J924" s="18" t="str">
        <x:v>No</x:v>
      </x:c>
    </x:row>
    <x:row r="925" ht="34" customHeight="1">
      <x:c r="A925" s="18" t="str">
        <x:v>pdf-layer-manager</x:v>
      </x:c>
      <x:c r="B925" s="18" t="str">
        <x:v>remove pdf layers</x:v>
      </x:c>
      <x:c r="C925" s="19" t="n">
        <x:v>210</x:v>
      </x:c>
      <x:c r="D925" s="18" t="str">
        <x:v>No</x:v>
      </x:c>
      <x:c r="E925" s="18" t="str">
        <x:v>2025-10 / 2026-09</x:v>
      </x:c>
      <x:c r="F925" s="18" t="str">
        <x:v>Global · sin filtro de idioma</x:v>
      </x:c>
      <x:c r="G925" s="18" t="str">
        <x:v>search_volume</x:v>
      </x:c>
      <x:c r="H925" s="18" t="str">
        <x:v>global-candidates.json</x:v>
      </x:c>
      <x:c r="I925" s="18" t="str">
        <x:v>10181909-1949-0367-0000-d6f424f63198</x:v>
      </x:c>
      <x:c r="J925" s="18" t="str">
        <x:v>No</x:v>
      </x:c>
    </x:row>
    <x:row r="926" ht="34" customHeight="1">
      <x:c r="A926" s="18" t="str">
        <x:v>pdf-preflight</x:v>
      </x:c>
      <x:c r="B926" s="18" t="str">
        <x:v>pdf preflight</x:v>
      </x:c>
      <x:c r="C926" s="19" t="n">
        <x:v>320</x:v>
      </x:c>
      <x:c r="D926" s="18" t="str">
        <x:v>Sí</x:v>
      </x:c>
      <x:c r="E926" s="18" t="str">
        <x:v>2025-10 / 2026-09</x:v>
      </x:c>
      <x:c r="F926" s="18" t="str">
        <x:v>Global · sin filtro de idioma</x:v>
      </x:c>
      <x:c r="G926" s="18" t="str">
        <x:v>search_volume</x:v>
      </x:c>
      <x:c r="H926" s="18" t="str">
        <x:v>global-candidates.json</x:v>
      </x:c>
      <x:c r="I926" s="18" t="str">
        <x:v>10181909-1949-0367-0000-d6f424f63198</x:v>
      </x:c>
      <x:c r="J926" s="18" t="str">
        <x:v>No</x:v>
      </x:c>
    </x:row>
    <x:row r="927" ht="34" customHeight="1">
      <x:c r="A927" s="18" t="str">
        <x:v>pdf-preflight</x:v>
      </x:c>
      <x:c r="B927" s="18" t="str">
        <x:v>print ready pdf checker</x:v>
      </x:c>
      <x:c r="C927" s="19" t="str">
        <x:v>n.a.</x:v>
      </x:c>
      <x:c r="D927" s="18" t="str">
        <x:v>No</x:v>
      </x:c>
      <x:c r="E927" s="18" t="str">
        <x:v>n.a.</x:v>
      </x:c>
      <x:c r="F927" s="18" t="str">
        <x:v>Global · sin filtro de idioma</x:v>
      </x:c>
      <x:c r="G927" s="18" t="str">
        <x:v>search_volume</x:v>
      </x:c>
      <x:c r="H927" s="18" t="str">
        <x:v>global-candidates.json</x:v>
      </x:c>
      <x:c r="I927" s="18" t="str">
        <x:v>10181909-1949-0367-0000-d6f424f63198</x:v>
      </x:c>
      <x:c r="J927" s="18" t="str">
        <x:v>No</x:v>
      </x:c>
    </x:row>
    <x:row r="928" ht="34" customHeight="1">
      <x:c r="A928" s="18" t="str">
        <x:v>pdf-preflight</x:v>
      </x:c>
      <x:c r="B928" s="18" t="str">
        <x:v>pdf print checker</x:v>
      </x:c>
      <x:c r="C928" s="19" t="n">
        <x:v>10</x:v>
      </x:c>
      <x:c r="D928" s="18" t="str">
        <x:v>No</x:v>
      </x:c>
      <x:c r="E928" s="18" t="str">
        <x:v>2025-10 / 2026-09</x:v>
      </x:c>
      <x:c r="F928" s="18" t="str">
        <x:v>Global · sin filtro de idioma</x:v>
      </x:c>
      <x:c r="G928" s="18" t="str">
        <x:v>search_volume</x:v>
      </x:c>
      <x:c r="H928" s="18" t="str">
        <x:v>global-candidates.json</x:v>
      </x:c>
      <x:c r="I928" s="18" t="str">
        <x:v>10181909-1949-0367-0000-d6f424f63198</x:v>
      </x:c>
      <x:c r="J928" s="18" t="str">
        <x:v>No</x:v>
      </x:c>
    </x:row>
    <x:row r="929" ht="34" customHeight="1">
      <x:c r="A929" s="18" t="str">
        <x:v>spreadsheet-formula-explainer</x:v>
      </x:c>
      <x:c r="B929" s="18" t="str">
        <x:v>excel formula explainer</x:v>
      </x:c>
      <x:c r="C929" s="19" t="n">
        <x:v>480</x:v>
      </x:c>
      <x:c r="D929" s="18" t="str">
        <x:v>No</x:v>
      </x:c>
      <x:c r="E929" s="18" t="str">
        <x:v>2025-10 / 2026-09</x:v>
      </x:c>
      <x:c r="F929" s="18" t="str">
        <x:v>Global · sin filtro de idioma</x:v>
      </x:c>
      <x:c r="G929" s="18" t="str">
        <x:v>search_volume</x:v>
      </x:c>
      <x:c r="H929" s="18" t="str">
        <x:v>global-candidates.json</x:v>
      </x:c>
      <x:c r="I929" s="18" t="str">
        <x:v>10181909-1949-0367-0000-d6f424f63198</x:v>
      </x:c>
      <x:c r="J929" s="18" t="str">
        <x:v>No</x:v>
      </x:c>
    </x:row>
    <x:row r="930" ht="34" customHeight="1">
      <x:c r="A930" s="18" t="str">
        <x:v>spreadsheet-formula-explainer</x:v>
      </x:c>
      <x:c r="B930" s="18" t="str">
        <x:v>excel formula generator</x:v>
      </x:c>
      <x:c r="C930" s="19" t="n">
        <x:v>2400</x:v>
      </x:c>
      <x:c r="D930" s="18" t="str">
        <x:v>Sí</x:v>
      </x:c>
      <x:c r="E930" s="18" t="str">
        <x:v>2025-10 / 2026-09</x:v>
      </x:c>
      <x:c r="F930" s="18" t="str">
        <x:v>Global · sin filtro de idioma</x:v>
      </x:c>
      <x:c r="G930" s="18" t="str">
        <x:v>search_volume</x:v>
      </x:c>
      <x:c r="H930" s="18" t="str">
        <x:v>global-candidates.json</x:v>
      </x:c>
      <x:c r="I930" s="18" t="str">
        <x:v>10181909-1949-0367-0000-d6f424f63198</x:v>
      </x:c>
      <x:c r="J930" s="18" t="str">
        <x:v>No</x:v>
      </x:c>
    </x:row>
    <x:row r="931" ht="34" customHeight="1">
      <x:c r="A931" s="18" t="str">
        <x:v>spreadsheet-formula-explainer</x:v>
      </x:c>
      <x:c r="B931" s="18" t="str">
        <x:v>excel formula helper</x:v>
      </x:c>
      <x:c r="C931" s="19" t="n">
        <x:v>1000</x:v>
      </x:c>
      <x:c r="D931" s="18" t="str">
        <x:v>No</x:v>
      </x:c>
      <x:c r="E931" s="18" t="str">
        <x:v>2025-10 / 2026-09</x:v>
      </x:c>
      <x:c r="F931" s="18" t="str">
        <x:v>Global · sin filtro de idioma</x:v>
      </x:c>
      <x:c r="G931" s="18" t="str">
        <x:v>search_volume</x:v>
      </x:c>
      <x:c r="H931" s="18" t="str">
        <x:v>global-candidates.json</x:v>
      </x:c>
      <x:c r="I931" s="18" t="str">
        <x:v>10181909-1949-0367-0000-d6f424f63198</x:v>
      </x:c>
      <x:c r="J931" s="18" t="str">
        <x:v>No</x:v>
      </x:c>
    </x:row>
    <x:row r="932" ht="34" customHeight="1">
      <x:c r="A932" s="18" t="str">
        <x:v>spreadsheet-auditor</x:v>
      </x:c>
      <x:c r="B932" s="18" t="str">
        <x:v>excel audit</x:v>
      </x:c>
      <x:c r="C932" s="19" t="n">
        <x:v>320</x:v>
      </x:c>
      <x:c r="D932" s="18" t="str">
        <x:v>Sí</x:v>
      </x:c>
      <x:c r="E932" s="18" t="str">
        <x:v>2025-10 / 2026-09</x:v>
      </x:c>
      <x:c r="F932" s="18" t="str">
        <x:v>Global · sin filtro de idioma</x:v>
      </x:c>
      <x:c r="G932" s="18" t="str">
        <x:v>search_volume</x:v>
      </x:c>
      <x:c r="H932" s="18" t="str">
        <x:v>global-candidates.json</x:v>
      </x:c>
      <x:c r="I932" s="18" t="str">
        <x:v>10181909-1949-0367-0000-d6f424f63198</x:v>
      </x:c>
      <x:c r="J932" s="18" t="str">
        <x:v>No</x:v>
      </x:c>
    </x:row>
    <x:row r="933" ht="34" customHeight="1">
      <x:c r="A933" s="18" t="str">
        <x:v>spreadsheet-auditor</x:v>
      </x:c>
      <x:c r="B933" s="18" t="str">
        <x:v>spreadsheet audit</x:v>
      </x:c>
      <x:c r="C933" s="19" t="n">
        <x:v>30</x:v>
      </x:c>
      <x:c r="D933" s="18" t="str">
        <x:v>No</x:v>
      </x:c>
      <x:c r="E933" s="18" t="str">
        <x:v>2025-10 / 2026-09</x:v>
      </x:c>
      <x:c r="F933" s="18" t="str">
        <x:v>Global · sin filtro de idioma</x:v>
      </x:c>
      <x:c r="G933" s="18" t="str">
        <x:v>search_volume</x:v>
      </x:c>
      <x:c r="H933" s="18" t="str">
        <x:v>global-candidates.json</x:v>
      </x:c>
      <x:c r="I933" s="18" t="str">
        <x:v>10181909-1949-0367-0000-d6f424f63198</x:v>
      </x:c>
      <x:c r="J933" s="18" t="str">
        <x:v>No</x:v>
      </x:c>
    </x:row>
    <x:row r="934" ht="34" customHeight="1">
      <x:c r="A934" s="18" t="str">
        <x:v>spreadsheet-auditor</x:v>
      </x:c>
      <x:c r="B934" s="18" t="str">
        <x:v>excel error checker</x:v>
      </x:c>
      <x:c r="C934" s="19" t="str">
        <x:v>n.a.</x:v>
      </x:c>
      <x:c r="D934" s="18" t="str">
        <x:v>No</x:v>
      </x:c>
      <x:c r="E934" s="18" t="str">
        <x:v>n.a.</x:v>
      </x:c>
      <x:c r="F934" s="18" t="str">
        <x:v>Global · sin filtro de idioma</x:v>
      </x:c>
      <x:c r="G934" s="18" t="str">
        <x:v>search_volume</x:v>
      </x:c>
      <x:c r="H934" s="18" t="str">
        <x:v>global-candidates.json</x:v>
      </x:c>
      <x:c r="I934" s="18" t="str">
        <x:v>10181909-1949-0367-0000-d6f424f63198</x:v>
      </x:c>
      <x:c r="J934" s="18" t="str">
        <x:v>No</x:v>
      </x:c>
    </x:row>
    <x:row r="935" ht="34" customHeight="1">
      <x:c r="A935" s="18" t="str">
        <x:v>spreadsheet-diff</x:v>
      </x:c>
      <x:c r="B935" s="18" t="str">
        <x:v>compare excel files</x:v>
      </x:c>
      <x:c r="C935" s="19" t="n">
        <x:v>2900</x:v>
      </x:c>
      <x:c r="D935" s="18" t="str">
        <x:v>No</x:v>
      </x:c>
      <x:c r="E935" s="18" t="str">
        <x:v>2025-10 / 2026-09</x:v>
      </x:c>
      <x:c r="F935" s="18" t="str">
        <x:v>Global · sin filtro de idioma</x:v>
      </x:c>
      <x:c r="G935" s="18" t="str">
        <x:v>search_volume</x:v>
      </x:c>
      <x:c r="H935" s="18" t="str">
        <x:v>global-candidates.json</x:v>
      </x:c>
      <x:c r="I935" s="18" t="str">
        <x:v>10181909-1949-0367-0000-d6f424f63198</x:v>
      </x:c>
      <x:c r="J935" s="18" t="str">
        <x:v>No</x:v>
      </x:c>
    </x:row>
    <x:row r="936" ht="34" customHeight="1">
      <x:c r="A936" s="18" t="str">
        <x:v>spreadsheet-diff</x:v>
      </x:c>
      <x:c r="B936" s="18" t="str">
        <x:v>excel compare</x:v>
      </x:c>
      <x:c r="C936" s="19" t="n">
        <x:v>3600</x:v>
      </x:c>
      <x:c r="D936" s="18" t="str">
        <x:v>No</x:v>
      </x:c>
      <x:c r="E936" s="18" t="str">
        <x:v>2025-10 / 2026-09</x:v>
      </x:c>
      <x:c r="F936" s="18" t="str">
        <x:v>Global · sin filtro de idioma</x:v>
      </x:c>
      <x:c r="G936" s="18" t="str">
        <x:v>search_volume</x:v>
      </x:c>
      <x:c r="H936" s="18" t="str">
        <x:v>global-candidates.json</x:v>
      </x:c>
      <x:c r="I936" s="18" t="str">
        <x:v>10181909-1949-0367-0000-d6f424f63198</x:v>
      </x:c>
      <x:c r="J936" s="18" t="str">
        <x:v>No</x:v>
      </x:c>
    </x:row>
    <x:row r="937" ht="34" customHeight="1">
      <x:c r="A937" s="18" t="str">
        <x:v>spreadsheet-diff</x:v>
      </x:c>
      <x:c r="B937" s="18" t="str">
        <x:v>spreadsheet compare</x:v>
      </x:c>
      <x:c r="C937" s="19" t="n">
        <x:v>4400</x:v>
      </x:c>
      <x:c r="D937" s="18" t="str">
        <x:v>Sí</x:v>
      </x:c>
      <x:c r="E937" s="18" t="str">
        <x:v>2025-10 / 2026-09</x:v>
      </x:c>
      <x:c r="F937" s="18" t="str">
        <x:v>Global · sin filtro de idioma</x:v>
      </x:c>
      <x:c r="G937" s="18" t="str">
        <x:v>search_volume</x:v>
      </x:c>
      <x:c r="H937" s="18" t="str">
        <x:v>global-candidates.json</x:v>
      </x:c>
      <x:c r="I937" s="18" t="str">
        <x:v>10181909-1949-0367-0000-d6f424f63198</x:v>
      </x:c>
      <x:c r="J937" s="18" t="str">
        <x:v>No</x:v>
      </x:c>
    </x:row>
    <x:row r="938" ht="34" customHeight="1">
      <x:c r="A938" s="18" t="str">
        <x:v>spreadsheet-pivot-builder</x:v>
      </x:c>
      <x:c r="B938" s="18" t="str">
        <x:v>pivot table online</x:v>
      </x:c>
      <x:c r="C938" s="19" t="n">
        <x:v>90</x:v>
      </x:c>
      <x:c r="D938" s="18" t="str">
        <x:v>Sí</x:v>
      </x:c>
      <x:c r="E938" s="18" t="str">
        <x:v>2025-10 / 2026-09</x:v>
      </x:c>
      <x:c r="F938" s="18" t="str">
        <x:v>Global · sin filtro de idioma</x:v>
      </x:c>
      <x:c r="G938" s="18" t="str">
        <x:v>search_volume</x:v>
      </x:c>
      <x:c r="H938" s="18" t="str">
        <x:v>global-candidates.json</x:v>
      </x:c>
      <x:c r="I938" s="18" t="str">
        <x:v>10181909-1949-0367-0000-d6f424f63198</x:v>
      </x:c>
      <x:c r="J938" s="18" t="str">
        <x:v>No</x:v>
      </x:c>
    </x:row>
    <x:row r="939" ht="34" customHeight="1">
      <x:c r="A939" s="18" t="str">
        <x:v>spreadsheet-pivot-builder</x:v>
      </x:c>
      <x:c r="B939" s="18" t="str">
        <x:v>pivot table generator</x:v>
      </x:c>
      <x:c r="C939" s="19" t="n">
        <x:v>50</x:v>
      </x:c>
      <x:c r="D939" s="18" t="str">
        <x:v>No</x:v>
      </x:c>
      <x:c r="E939" s="18" t="str">
        <x:v>2025-10 / 2026-09</x:v>
      </x:c>
      <x:c r="F939" s="18" t="str">
        <x:v>Global · sin filtro de idioma</x:v>
      </x:c>
      <x:c r="G939" s="18" t="str">
        <x:v>search_volume</x:v>
      </x:c>
      <x:c r="H939" s="18" t="str">
        <x:v>global-candidates.json</x:v>
      </x:c>
      <x:c r="I939" s="18" t="str">
        <x:v>10181909-1949-0367-0000-d6f424f63198</x:v>
      </x:c>
      <x:c r="J939" s="18" t="str">
        <x:v>No</x:v>
      </x:c>
    </x:row>
    <x:row r="940" ht="34" customHeight="1">
      <x:c r="A940" s="18" t="str">
        <x:v>spreadsheet-pivot-builder</x:v>
      </x:c>
      <x:c r="B940" s="18" t="str">
        <x:v>tabla dinamica online</x:v>
      </x:c>
      <x:c r="C940" s="19" t="n">
        <x:v>10</x:v>
      </x:c>
      <x:c r="D940" s="18" t="str">
        <x:v>No</x:v>
      </x:c>
      <x:c r="E940" s="18" t="str">
        <x:v>2025-10 / 2026-09</x:v>
      </x:c>
      <x:c r="F940" s="18" t="str">
        <x:v>Global · sin filtro de idioma</x:v>
      </x:c>
      <x:c r="G940" s="18" t="str">
        <x:v>search_volume</x:v>
      </x:c>
      <x:c r="H940" s="18" t="str">
        <x:v>global-candidates.json</x:v>
      </x:c>
      <x:c r="I940" s="18" t="str">
        <x:v>10181909-1949-0367-0000-d6f424f63198</x:v>
      </x:c>
      <x:c r="J940" s="18" t="str">
        <x:v>No</x:v>
      </x:c>
    </x:row>
    <x:row r="941" ht="34" customHeight="1">
      <x:c r="A941" s="18" t="str">
        <x:v>spreadsheet-data-cleaner</x:v>
      </x:c>
      <x:c r="B941" s="18" t="str">
        <x:v>data cleaning tool</x:v>
      </x:c>
      <x:c r="C941" s="19" t="n">
        <x:v>6600</x:v>
      </x:c>
      <x:c r="D941" s="18" t="str">
        <x:v>Sí</x:v>
      </x:c>
      <x:c r="E941" s="18" t="str">
        <x:v>2025-10 / 2026-09</x:v>
      </x:c>
      <x:c r="F941" s="18" t="str">
        <x:v>Global · sin filtro de idioma</x:v>
      </x:c>
      <x:c r="G941" s="18" t="str">
        <x:v>search_volume</x:v>
      </x:c>
      <x:c r="H941" s="18" t="str">
        <x:v>global-candidates.json</x:v>
      </x:c>
      <x:c r="I941" s="18" t="str">
        <x:v>10181909-1949-0367-0000-d6f424f63198</x:v>
      </x:c>
      <x:c r="J941" s="18" t="str">
        <x:v>No</x:v>
      </x:c>
    </x:row>
    <x:row r="942" ht="34" customHeight="1">
      <x:c r="A942" s="18" t="str">
        <x:v>spreadsheet-data-cleaner</x:v>
      </x:c>
      <x:c r="B942" s="18" t="str">
        <x:v>clean excel data</x:v>
      </x:c>
      <x:c r="C942" s="19" t="n">
        <x:v>4400</x:v>
      </x:c>
      <x:c r="D942" s="18" t="str">
        <x:v>No</x:v>
      </x:c>
      <x:c r="E942" s="18" t="str">
        <x:v>2025-10 / 2026-09</x:v>
      </x:c>
      <x:c r="F942" s="18" t="str">
        <x:v>Global · sin filtro de idioma</x:v>
      </x:c>
      <x:c r="G942" s="18" t="str">
        <x:v>search_volume</x:v>
      </x:c>
      <x:c r="H942" s="18" t="str">
        <x:v>global-candidates.json</x:v>
      </x:c>
      <x:c r="I942" s="18" t="str">
        <x:v>10181909-1949-0367-0000-d6f424f63198</x:v>
      </x:c>
      <x:c r="J942" s="18" t="str">
        <x:v>No</x:v>
      </x:c>
    </x:row>
    <x:row r="943" ht="34" customHeight="1">
      <x:c r="A943" s="18" t="str">
        <x:v>spreadsheet-data-cleaner</x:v>
      </x:c>
      <x:c r="B943" s="18" t="str">
        <x:v>limpiar datos excel</x:v>
      </x:c>
      <x:c r="C943" s="19" t="n">
        <x:v>20</x:v>
      </x:c>
      <x:c r="D943" s="18" t="str">
        <x:v>No</x:v>
      </x:c>
      <x:c r="E943" s="18" t="str">
        <x:v>2025-10 / 2026-09</x:v>
      </x:c>
      <x:c r="F943" s="18" t="str">
        <x:v>Global · sin filtro de idioma</x:v>
      </x:c>
      <x:c r="G943" s="18" t="str">
        <x:v>search_volume</x:v>
      </x:c>
      <x:c r="H943" s="18" t="str">
        <x:v>global-candidates.json</x:v>
      </x:c>
      <x:c r="I943" s="18" t="str">
        <x:v>10181909-1949-0367-0000-d6f424f63198</x:v>
      </x:c>
      <x:c r="J943" s="18" t="str">
        <x:v>No</x:v>
      </x:c>
    </x:row>
    <x:row r="944" ht="34" customHeight="1">
      <x:c r="A944" s="18" t="str">
        <x:v>audio-source-separator</x:v>
      </x:c>
      <x:c r="B944" s="18" t="str">
        <x:v>stem splitter</x:v>
      </x:c>
      <x:c r="C944" s="19" t="n">
        <x:v>40500</x:v>
      </x:c>
      <x:c r="D944" s="18" t="str">
        <x:v>Sí</x:v>
      </x:c>
      <x:c r="E944" s="18" t="str">
        <x:v>2025-10 / 2026-09</x:v>
      </x:c>
      <x:c r="F944" s="18" t="str">
        <x:v>Global · sin filtro de idioma</x:v>
      </x:c>
      <x:c r="G944" s="18" t="str">
        <x:v>search_volume</x:v>
      </x:c>
      <x:c r="H944" s="18" t="str">
        <x:v>global-candidates.json</x:v>
      </x:c>
      <x:c r="I944" s="18" t="str">
        <x:v>10181909-1949-0367-0000-d6f424f63198</x:v>
      </x:c>
      <x:c r="J944" s="18" t="str">
        <x:v>No</x:v>
      </x:c>
    </x:row>
    <x:row r="945" ht="34" customHeight="1">
      <x:c r="A945" s="18" t="str">
        <x:v>audio-source-separator</x:v>
      </x:c>
      <x:c r="B945" s="18" t="str">
        <x:v>audio stem separator</x:v>
      </x:c>
      <x:c r="C945" s="19" t="n">
        <x:v>210</x:v>
      </x:c>
      <x:c r="D945" s="18" t="str">
        <x:v>No</x:v>
      </x:c>
      <x:c r="E945" s="18" t="str">
        <x:v>2025-10 / 2026-09</x:v>
      </x:c>
      <x:c r="F945" s="18" t="str">
        <x:v>Global · sin filtro de idioma</x:v>
      </x:c>
      <x:c r="G945" s="18" t="str">
        <x:v>search_volume</x:v>
      </x:c>
      <x:c r="H945" s="18" t="str">
        <x:v>global-candidates.json</x:v>
      </x:c>
      <x:c r="I945" s="18" t="str">
        <x:v>10181909-1949-0367-0000-d6f424f63198</x:v>
      </x:c>
      <x:c r="J945" s="18" t="str">
        <x:v>No</x:v>
      </x:c>
    </x:row>
    <x:row r="946" ht="34" customHeight="1">
      <x:c r="A946" s="18" t="str">
        <x:v>audio-source-separator</x:v>
      </x:c>
      <x:c r="B946" s="18" t="str">
        <x:v>separar instrumentos</x:v>
      </x:c>
      <x:c r="C946" s="19" t="n">
        <x:v>1300</x:v>
      </x:c>
      <x:c r="D946" s="18" t="str">
        <x:v>No</x:v>
      </x:c>
      <x:c r="E946" s="18" t="str">
        <x:v>2025-10 / 2026-09</x:v>
      </x:c>
      <x:c r="F946" s="18" t="str">
        <x:v>Global · sin filtro de idioma</x:v>
      </x:c>
      <x:c r="G946" s="18" t="str">
        <x:v>search_volume</x:v>
      </x:c>
      <x:c r="H946" s="18" t="str">
        <x:v>global-candidates.json</x:v>
      </x:c>
      <x:c r="I946" s="18" t="str">
        <x:v>10181909-1949-0367-0000-d6f424f63198</x:v>
      </x:c>
      <x:c r="J946" s="18" t="str">
        <x:v>No</x:v>
      </x:c>
    </x:row>
    <x:row r="947" ht="34" customHeight="1">
      <x:c r="A947" s="18" t="str">
        <x:v>music-identifier</x:v>
      </x:c>
      <x:c r="B947" s="18" t="str">
        <x:v>song identifier</x:v>
      </x:c>
      <x:c r="C947" s="19" t="n">
        <x:v>60500</x:v>
      </x:c>
      <x:c r="D947" s="18" t="str">
        <x:v>No</x:v>
      </x:c>
      <x:c r="E947" s="18" t="str">
        <x:v>2025-10 / 2026-09</x:v>
      </x:c>
      <x:c r="F947" s="18" t="str">
        <x:v>Global · sin filtro de idioma</x:v>
      </x:c>
      <x:c r="G947" s="18" t="str">
        <x:v>keywords_for_keywords</x:v>
      </x:c>
      <x:c r="H947" s="18" t="str">
        <x:v>discovery-creative-learning.json</x:v>
      </x:c>
      <x:c r="I947" s="18" t="str">
        <x:v>10181858-1949-0368-0000-9053a93ddd50</x:v>
      </x:c>
      <x:c r="J947" s="18" t="str">
        <x:v>No</x:v>
      </x:c>
    </x:row>
    <x:row r="948" ht="34" customHeight="1">
      <x:c r="A948" s="18" t="str">
        <x:v>music-identifier</x:v>
      </x:c>
      <x:c r="B948" s="18" t="str">
        <x:v>identify song</x:v>
      </x:c>
      <x:c r="C948" s="19" t="n">
        <x:v>90500</x:v>
      </x:c>
      <x:c r="D948" s="18" t="str">
        <x:v>No</x:v>
      </x:c>
      <x:c r="E948" s="18" t="str">
        <x:v>2025-10 / 2026-09</x:v>
      </x:c>
      <x:c r="F948" s="18" t="str">
        <x:v>Global · sin filtro de idioma</x:v>
      </x:c>
      <x:c r="G948" s="18" t="str">
        <x:v>search_volume</x:v>
      </x:c>
      <x:c r="H948" s="18" t="str">
        <x:v>global-candidates.json</x:v>
      </x:c>
      <x:c r="I948" s="18" t="str">
        <x:v>10181909-1949-0367-0000-d6f424f63198</x:v>
      </x:c>
      <x:c r="J948" s="18" t="str">
        <x:v>No</x:v>
      </x:c>
    </x:row>
    <x:row r="949" ht="34" customHeight="1">
      <x:c r="A949" s="18" t="str">
        <x:v>music-identifier</x:v>
      </x:c>
      <x:c r="B949" s="18" t="str">
        <x:v>song finder</x:v>
      </x:c>
      <x:c r="C949" s="19" t="n">
        <x:v>246000</x:v>
      </x:c>
      <x:c r="D949" s="18" t="str">
        <x:v>Sí</x:v>
      </x:c>
      <x:c r="E949" s="18" t="str">
        <x:v>2025-10 / 2026-09</x:v>
      </x:c>
      <x:c r="F949" s="18" t="str">
        <x:v>Global · sin filtro de idioma</x:v>
      </x:c>
      <x:c r="G949" s="18" t="str">
        <x:v>keywords_for_keywords</x:v>
      </x:c>
      <x:c r="H949" s="18" t="str">
        <x:v>discovery-creative-learning.json</x:v>
      </x:c>
      <x:c r="I949" s="18" t="str">
        <x:v>10181858-1949-0368-0000-9053a93ddd50</x:v>
      </x:c>
      <x:c r="J949" s="18" t="str">
        <x:v>No</x:v>
      </x:c>
    </x:row>
    <x:row r="950" ht="34" customHeight="1">
      <x:c r="A950" s="18" t="str">
        <x:v>audio-denoiser</x:v>
      </x:c>
      <x:c r="B950" s="18" t="str">
        <x:v>audio noise remover</x:v>
      </x:c>
      <x:c r="C950" s="19" t="n">
        <x:v>1000</x:v>
      </x:c>
      <x:c r="D950" s="18" t="str">
        <x:v>No</x:v>
      </x:c>
      <x:c r="E950" s="18" t="str">
        <x:v>2025-10 / 2026-09</x:v>
      </x:c>
      <x:c r="F950" s="18" t="str">
        <x:v>Global · sin filtro de idioma</x:v>
      </x:c>
      <x:c r="G950" s="18" t="str">
        <x:v>search_volume</x:v>
      </x:c>
      <x:c r="H950" s="18" t="str">
        <x:v>global-candidates.json</x:v>
      </x:c>
      <x:c r="I950" s="18" t="str">
        <x:v>10181909-1949-0367-0000-d6f424f63198</x:v>
      </x:c>
      <x:c r="J950" s="18" t="str">
        <x:v>No</x:v>
      </x:c>
    </x:row>
    <x:row r="951" ht="34" customHeight="1">
      <x:c r="A951" s="18" t="str">
        <x:v>audio-denoiser</x:v>
      </x:c>
      <x:c r="B951" s="18" t="str">
        <x:v>remove background noise</x:v>
      </x:c>
      <x:c r="C951" s="19" t="n">
        <x:v>8100</x:v>
      </x:c>
      <x:c r="D951" s="18" t="str">
        <x:v>Sí</x:v>
      </x:c>
      <x:c r="E951" s="18" t="str">
        <x:v>2025-10 / 2026-09</x:v>
      </x:c>
      <x:c r="F951" s="18" t="str">
        <x:v>Global · sin filtro de idioma</x:v>
      </x:c>
      <x:c r="G951" s="18" t="str">
        <x:v>search_volume</x:v>
      </x:c>
      <x:c r="H951" s="18" t="str">
        <x:v>global-candidates.json</x:v>
      </x:c>
      <x:c r="I951" s="18" t="str">
        <x:v>10181909-1949-0367-0000-d6f424f63198</x:v>
      </x:c>
      <x:c r="J951" s="18" t="str">
        <x:v>No</x:v>
      </x:c>
    </x:row>
    <x:row r="952" ht="34" customHeight="1">
      <x:c r="A952" s="18" t="str">
        <x:v>audio-denoiser</x:v>
      </x:c>
      <x:c r="B952" s="18" t="str">
        <x:v>noise reduction online</x:v>
      </x:c>
      <x:c r="C952" s="19" t="n">
        <x:v>3600</x:v>
      </x:c>
      <x:c r="D952" s="18" t="str">
        <x:v>No</x:v>
      </x:c>
      <x:c r="E952" s="18" t="str">
        <x:v>2025-10 / 2026-09</x:v>
      </x:c>
      <x:c r="F952" s="18" t="str">
        <x:v>Global · sin filtro de idioma</x:v>
      </x:c>
      <x:c r="G952" s="18" t="str">
        <x:v>search_volume</x:v>
      </x:c>
      <x:c r="H952" s="18" t="str">
        <x:v>global-candidates.json</x:v>
      </x:c>
      <x:c r="I952" s="18" t="str">
        <x:v>10181909-1949-0367-0000-d6f424f63198</x:v>
      </x:c>
      <x:c r="J952" s="18" t="str">
        <x:v>No</x:v>
      </x:c>
    </x:row>
    <x:row r="953" ht="34" customHeight="1">
      <x:c r="A953" s="18" t="str">
        <x:v>audio-equalizer</x:v>
      </x:c>
      <x:c r="B953" s="18" t="str">
        <x:v>audio equalizer</x:v>
      </x:c>
      <x:c r="C953" s="19" t="n">
        <x:v>12100</x:v>
      </x:c>
      <x:c r="D953" s="18" t="str">
        <x:v>Sí</x:v>
      </x:c>
      <x:c r="E953" s="18" t="str">
        <x:v>2025-10 / 2026-09</x:v>
      </x:c>
      <x:c r="F953" s="18" t="str">
        <x:v>Global · sin filtro de idioma</x:v>
      </x:c>
      <x:c r="G953" s="18" t="str">
        <x:v>search_volume</x:v>
      </x:c>
      <x:c r="H953" s="18" t="str">
        <x:v>global-candidates.json</x:v>
      </x:c>
      <x:c r="I953" s="18" t="str">
        <x:v>10181909-1949-0367-0000-d6f424f63198</x:v>
      </x:c>
      <x:c r="J953" s="18" t="str">
        <x:v>No</x:v>
      </x:c>
    </x:row>
    <x:row r="954" ht="34" customHeight="1">
      <x:c r="A954" s="18" t="str">
        <x:v>audio-equalizer</x:v>
      </x:c>
      <x:c r="B954" s="18" t="str">
        <x:v>equalizer online</x:v>
      </x:c>
      <x:c r="C954" s="19" t="n">
        <x:v>5400</x:v>
      </x:c>
      <x:c r="D954" s="18" t="str">
        <x:v>No</x:v>
      </x:c>
      <x:c r="E954" s="18" t="str">
        <x:v>2025-10 / 2026-09</x:v>
      </x:c>
      <x:c r="F954" s="18" t="str">
        <x:v>Global · sin filtro de idioma</x:v>
      </x:c>
      <x:c r="G954" s="18" t="str">
        <x:v>search_volume</x:v>
      </x:c>
      <x:c r="H954" s="18" t="str">
        <x:v>global-candidates.json</x:v>
      </x:c>
      <x:c r="I954" s="18" t="str">
        <x:v>10181909-1949-0367-0000-d6f424f63198</x:v>
      </x:c>
      <x:c r="J954" s="18" t="str">
        <x:v>No</x:v>
      </x:c>
    </x:row>
    <x:row r="955" ht="34" customHeight="1">
      <x:c r="A955" s="18" t="str">
        <x:v>audio-equalizer</x:v>
      </x:c>
      <x:c r="B955" s="18" t="str">
        <x:v>ecualizador online</x:v>
      </x:c>
      <x:c r="C955" s="19" t="n">
        <x:v>1000</x:v>
      </x:c>
      <x:c r="D955" s="18" t="str">
        <x:v>No</x:v>
      </x:c>
      <x:c r="E955" s="18" t="str">
        <x:v>2025-10 / 2026-09</x:v>
      </x:c>
      <x:c r="F955" s="18" t="str">
        <x:v>Global · sin filtro de idioma</x:v>
      </x:c>
      <x:c r="G955" s="18" t="str">
        <x:v>search_volume</x:v>
      </x:c>
      <x:c r="H955" s="18" t="str">
        <x:v>global-candidates.json</x:v>
      </x:c>
      <x:c r="I955" s="18" t="str">
        <x:v>10181909-1949-0367-0000-d6f424f63198</x:v>
      </x:c>
      <x:c r="J955" s="18" t="str">
        <x:v>No</x:v>
      </x:c>
    </x:row>
    <x:row r="956" ht="34" customHeight="1">
      <x:c r="A956" s="18" t="str">
        <x:v>audio-loudness-normalizer</x:v>
      </x:c>
      <x:c r="B956" s="18" t="str">
        <x:v>loudness normalizer</x:v>
      </x:c>
      <x:c r="C956" s="19" t="n">
        <x:v>1000</x:v>
      </x:c>
      <x:c r="D956" s="18" t="str">
        <x:v>No</x:v>
      </x:c>
      <x:c r="E956" s="18" t="str">
        <x:v>2025-10 / 2026-09</x:v>
      </x:c>
      <x:c r="F956" s="18" t="str">
        <x:v>Global · sin filtro de idioma</x:v>
      </x:c>
      <x:c r="G956" s="18" t="str">
        <x:v>search_volume</x:v>
      </x:c>
      <x:c r="H956" s="18" t="str">
        <x:v>global-candidates.json</x:v>
      </x:c>
      <x:c r="I956" s="18" t="str">
        <x:v>10181909-1949-0367-0000-d6f424f63198</x:v>
      </x:c>
      <x:c r="J956" s="18" t="str">
        <x:v>No</x:v>
      </x:c>
    </x:row>
    <x:row r="957" ht="34" customHeight="1">
      <x:c r="A957" s="18" t="str">
        <x:v>audio-loudness-normalizer</x:v>
      </x:c>
      <x:c r="B957" s="18" t="str">
        <x:v>audio normalization</x:v>
      </x:c>
      <x:c r="C957" s="19" t="n">
        <x:v>2900</x:v>
      </x:c>
      <x:c r="D957" s="18" t="str">
        <x:v>Sí</x:v>
      </x:c>
      <x:c r="E957" s="18" t="str">
        <x:v>2025-10 / 2026-09</x:v>
      </x:c>
      <x:c r="F957" s="18" t="str">
        <x:v>Global · sin filtro de idioma</x:v>
      </x:c>
      <x:c r="G957" s="18" t="str">
        <x:v>search_volume</x:v>
      </x:c>
      <x:c r="H957" s="18" t="str">
        <x:v>global-candidates.json</x:v>
      </x:c>
      <x:c r="I957" s="18" t="str">
        <x:v>10181909-1949-0367-0000-d6f424f63198</x:v>
      </x:c>
      <x:c r="J957" s="18" t="str">
        <x:v>No</x:v>
      </x:c>
    </x:row>
    <x:row r="958" ht="34" customHeight="1">
      <x:c r="A958" s="18" t="str">
        <x:v>audio-loudness-normalizer</x:v>
      </x:c>
      <x:c r="B958" s="18" t="str">
        <x:v>normalize audio</x:v>
      </x:c>
      <x:c r="C958" s="19" t="n">
        <x:v>2900</x:v>
      </x:c>
      <x:c r="D958" s="18" t="str">
        <x:v>No</x:v>
      </x:c>
      <x:c r="E958" s="18" t="str">
        <x:v>2025-10 / 2026-09</x:v>
      </x:c>
      <x:c r="F958" s="18" t="str">
        <x:v>Global · sin filtro de idioma</x:v>
      </x:c>
      <x:c r="G958" s="18" t="str">
        <x:v>search_volume</x:v>
      </x:c>
      <x:c r="H958" s="18" t="str">
        <x:v>global-candidates.json</x:v>
      </x:c>
      <x:c r="I958" s="18" t="str">
        <x:v>10181909-1949-0367-0000-d6f424f63198</x:v>
      </x:c>
      <x:c r="J958" s="18" t="str">
        <x:v>No</x:v>
      </x:c>
    </x:row>
    <x:row r="959" ht="34" customHeight="1">
      <x:c r="A959" s="18" t="str">
        <x:v>audio-phase-checker</x:v>
      </x:c>
      <x:c r="B959" s="18" t="str">
        <x:v>phase correlation meter</x:v>
      </x:c>
      <x:c r="C959" s="19" t="n">
        <x:v>210</x:v>
      </x:c>
      <x:c r="D959" s="18" t="str">
        <x:v>Sí</x:v>
      </x:c>
      <x:c r="E959" s="18" t="str">
        <x:v>2025-10 / 2026-09</x:v>
      </x:c>
      <x:c r="F959" s="18" t="str">
        <x:v>Global · sin filtro de idioma</x:v>
      </x:c>
      <x:c r="G959" s="18" t="str">
        <x:v>search_volume</x:v>
      </x:c>
      <x:c r="H959" s="18" t="str">
        <x:v>global-candidates.json</x:v>
      </x:c>
      <x:c r="I959" s="18" t="str">
        <x:v>10181909-1949-0367-0000-d6f424f63198</x:v>
      </x:c>
      <x:c r="J959" s="18" t="str">
        <x:v>No</x:v>
      </x:c>
    </x:row>
    <x:row r="960" ht="34" customHeight="1">
      <x:c r="A960" s="18" t="str">
        <x:v>audio-phase-checker</x:v>
      </x:c>
      <x:c r="B960" s="18" t="str">
        <x:v>audio phase checker</x:v>
      </x:c>
      <x:c r="C960" s="19" t="n">
        <x:v>110</x:v>
      </x:c>
      <x:c r="D960" s="18" t="str">
        <x:v>No</x:v>
      </x:c>
      <x:c r="E960" s="18" t="str">
        <x:v>2025-10 / 2026-09</x:v>
      </x:c>
      <x:c r="F960" s="18" t="str">
        <x:v>Global · sin filtro de idioma</x:v>
      </x:c>
      <x:c r="G960" s="18" t="str">
        <x:v>search_volume</x:v>
      </x:c>
      <x:c r="H960" s="18" t="str">
        <x:v>global-candidates.json</x:v>
      </x:c>
      <x:c r="I960" s="18" t="str">
        <x:v>10181909-1949-0367-0000-d6f424f63198</x:v>
      </x:c>
      <x:c r="J960" s="18" t="str">
        <x:v>No</x:v>
      </x:c>
    </x:row>
    <x:row r="961" ht="34" customHeight="1">
      <x:c r="A961" s="18" t="str">
        <x:v>audio-phase-checker</x:v>
      </x:c>
      <x:c r="B961" s="18" t="str">
        <x:v>stereo phase</x:v>
      </x:c>
      <x:c r="C961" s="19" t="n">
        <x:v>70</x:v>
      </x:c>
      <x:c r="D961" s="18" t="str">
        <x:v>No</x:v>
      </x:c>
      <x:c r="E961" s="18" t="str">
        <x:v>2025-10 / 2026-09</x:v>
      </x:c>
      <x:c r="F961" s="18" t="str">
        <x:v>Global · sin filtro de idioma</x:v>
      </x:c>
      <x:c r="G961" s="18" t="str">
        <x:v>search_volume</x:v>
      </x:c>
      <x:c r="H961" s="18" t="str">
        <x:v>global-candidates.json</x:v>
      </x:c>
      <x:c r="I961" s="18" t="str">
        <x:v>10181909-1949-0367-0000-d6f424f63198</x:v>
      </x:c>
      <x:c r="J961" s="18" t="str">
        <x:v>No</x:v>
      </x:c>
    </x:row>
    <x:row r="962" ht="34" customHeight="1">
      <x:c r="A962" s="18" t="str">
        <x:v>chord-progression-builder</x:v>
      </x:c>
      <x:c r="B962" s="18" t="str">
        <x:v>chord progression generator</x:v>
      </x:c>
      <x:c r="C962" s="19" t="n">
        <x:v>12100</x:v>
      </x:c>
      <x:c r="D962" s="18" t="str">
        <x:v>No</x:v>
      </x:c>
      <x:c r="E962" s="18" t="str">
        <x:v>2025-10 / 2026-09</x:v>
      </x:c>
      <x:c r="F962" s="18" t="str">
        <x:v>Global · sin filtro de idioma</x:v>
      </x:c>
      <x:c r="G962" s="18" t="str">
        <x:v>search_volume</x:v>
      </x:c>
      <x:c r="H962" s="18" t="str">
        <x:v>global-candidates.json</x:v>
      </x:c>
      <x:c r="I962" s="18" t="str">
        <x:v>10181909-1949-0367-0000-d6f424f63198</x:v>
      </x:c>
      <x:c r="J962" s="18" t="str">
        <x:v>No</x:v>
      </x:c>
    </x:row>
    <x:row r="963" ht="34" customHeight="1">
      <x:c r="A963" s="18" t="str">
        <x:v>chord-progression-builder</x:v>
      </x:c>
      <x:c r="B963" s="18" t="str">
        <x:v>chord progression</x:v>
      </x:c>
      <x:c r="C963" s="19" t="n">
        <x:v>368000</x:v>
      </x:c>
      <x:c r="D963" s="18" t="str">
        <x:v>Sí</x:v>
      </x:c>
      <x:c r="E963" s="18" t="str">
        <x:v>2025-10 / 2026-09</x:v>
      </x:c>
      <x:c r="F963" s="18" t="str">
        <x:v>Global · sin filtro de idioma</x:v>
      </x:c>
      <x:c r="G963" s="18" t="str">
        <x:v>search_volume</x:v>
      </x:c>
      <x:c r="H963" s="18" t="str">
        <x:v>global-candidates.json</x:v>
      </x:c>
      <x:c r="I963" s="18" t="str">
        <x:v>10181909-1949-0367-0000-d6f424f63198</x:v>
      </x:c>
      <x:c r="J963" s="18" t="str">
        <x:v>No</x:v>
      </x:c>
    </x:row>
    <x:row r="964" ht="34" customHeight="1">
      <x:c r="A964" s="18" t="str">
        <x:v>chord-progression-builder</x:v>
      </x:c>
      <x:c r="B964" s="18" t="str">
        <x:v>generador acordes</x:v>
      </x:c>
      <x:c r="C964" s="19" t="n">
        <x:v>110</x:v>
      </x:c>
      <x:c r="D964" s="18" t="str">
        <x:v>No</x:v>
      </x:c>
      <x:c r="E964" s="18" t="str">
        <x:v>2025-10 / 2026-09</x:v>
      </x:c>
      <x:c r="F964" s="18" t="str">
        <x:v>Global · sin filtro de idioma</x:v>
      </x:c>
      <x:c r="G964" s="18" t="str">
        <x:v>search_volume</x:v>
      </x:c>
      <x:c r="H964" s="18" t="str">
        <x:v>global-candidates.json</x:v>
      </x:c>
      <x:c r="I964" s="18" t="str">
        <x:v>10181909-1949-0367-0000-d6f424f63198</x:v>
      </x:c>
      <x:c r="J964" s="18" t="str">
        <x:v>No</x:v>
      </x:c>
    </x:row>
    <x:row r="965" ht="34" customHeight="1">
      <x:c r="A965" s="18" t="str">
        <x:v>song-structure-planner</x:v>
      </x:c>
      <x:c r="B965" s="18" t="str">
        <x:v>song structure</x:v>
      </x:c>
      <x:c r="C965" s="19" t="n">
        <x:v>14800</x:v>
      </x:c>
      <x:c r="D965" s="18" t="str">
        <x:v>Sí</x:v>
      </x:c>
      <x:c r="E965" s="18" t="str">
        <x:v>2025-10 / 2026-09</x:v>
      </x:c>
      <x:c r="F965" s="18" t="str">
        <x:v>Global · sin filtro de idioma</x:v>
      </x:c>
      <x:c r="G965" s="18" t="str">
        <x:v>search_volume</x:v>
      </x:c>
      <x:c r="H965" s="18" t="str">
        <x:v>global-candidates.json</x:v>
      </x:c>
      <x:c r="I965" s="18" t="str">
        <x:v>10181909-1949-0367-0000-d6f424f63198</x:v>
      </x:c>
      <x:c r="J965" s="18" t="str">
        <x:v>No</x:v>
      </x:c>
    </x:row>
    <x:row r="966" ht="34" customHeight="1">
      <x:c r="A966" s="18" t="str">
        <x:v>song-structure-planner</x:v>
      </x:c>
      <x:c r="B966" s="18" t="str">
        <x:v>song structure generator</x:v>
      </x:c>
      <x:c r="C966" s="19" t="n">
        <x:v>90</x:v>
      </x:c>
      <x:c r="D966" s="18" t="str">
        <x:v>No</x:v>
      </x:c>
      <x:c r="E966" s="18" t="str">
        <x:v>2025-10 / 2026-09</x:v>
      </x:c>
      <x:c r="F966" s="18" t="str">
        <x:v>Global · sin filtro de idioma</x:v>
      </x:c>
      <x:c r="G966" s="18" t="str">
        <x:v>search_volume</x:v>
      </x:c>
      <x:c r="H966" s="18" t="str">
        <x:v>global-candidates.json</x:v>
      </x:c>
      <x:c r="I966" s="18" t="str">
        <x:v>10181909-1949-0367-0000-d6f424f63198</x:v>
      </x:c>
      <x:c r="J966" s="18" t="str">
        <x:v>No</x:v>
      </x:c>
    </x:row>
    <x:row r="967" ht="34" customHeight="1">
      <x:c r="A967" s="18" t="str">
        <x:v>song-structure-planner</x:v>
      </x:c>
      <x:c r="B967" s="18" t="str">
        <x:v>songwriting planner</x:v>
      </x:c>
      <x:c r="C967" s="19" t="str">
        <x:v>n.a.</x:v>
      </x:c>
      <x:c r="D967" s="18" t="str">
        <x:v>No</x:v>
      </x:c>
      <x:c r="E967" s="18" t="str">
        <x:v>n.a.</x:v>
      </x:c>
      <x:c r="F967" s="18" t="str">
        <x:v>Global · sin filtro de idioma</x:v>
      </x:c>
      <x:c r="G967" s="18" t="str">
        <x:v>search_volume</x:v>
      </x:c>
      <x:c r="H967" s="18" t="str">
        <x:v>global-candidates.json</x:v>
      </x:c>
      <x:c r="I967" s="18" t="str">
        <x:v>10181909-1949-0367-0000-d6f424f63198</x:v>
      </x:c>
      <x:c r="J967" s="18" t="str">
        <x:v>No</x:v>
      </x:c>
    </x:row>
    <x:row r="968" ht="34" customHeight="1">
      <x:c r="A968" s="18" t="str">
        <x:v>virtual-drum-kit</x:v>
      </x:c>
      <x:c r="B968" s="18" t="str">
        <x:v>virtual drums</x:v>
      </x:c>
      <x:c r="C968" s="19" t="n">
        <x:v>74000</x:v>
      </x:c>
      <x:c r="D968" s="18" t="str">
        <x:v>Sí</x:v>
      </x:c>
      <x:c r="E968" s="18" t="str">
        <x:v>2025-10 / 2026-09</x:v>
      </x:c>
      <x:c r="F968" s="18" t="str">
        <x:v>Global · sin filtro de idioma</x:v>
      </x:c>
      <x:c r="G968" s="18" t="str">
        <x:v>search_volume</x:v>
      </x:c>
      <x:c r="H968" s="18" t="str">
        <x:v>global-initial-screen.json</x:v>
      </x:c>
      <x:c r="I968" s="18" t="str">
        <x:v>10181645-1949-0367-0000-721aab5cac1a</x:v>
      </x:c>
      <x:c r="J968" s="18" t="str">
        <x:v>No</x:v>
      </x:c>
    </x:row>
    <x:row r="969" ht="34" customHeight="1">
      <x:c r="A969" s="18" t="str">
        <x:v>virtual-drum-kit</x:v>
      </x:c>
      <x:c r="B969" s="18" t="str">
        <x:v>drum kit online</x:v>
      </x:c>
      <x:c r="C969" s="19" t="n">
        <x:v>33100</x:v>
      </x:c>
      <x:c r="D969" s="18" t="str">
        <x:v>No</x:v>
      </x:c>
      <x:c r="E969" s="18" t="str">
        <x:v>2025-10 / 2026-09</x:v>
      </x:c>
      <x:c r="F969" s="18" t="str">
        <x:v>Global · sin filtro de idioma</x:v>
      </x:c>
      <x:c r="G969" s="18" t="str">
        <x:v>search_volume</x:v>
      </x:c>
      <x:c r="H969" s="18" t="str">
        <x:v>global-candidates.json</x:v>
      </x:c>
      <x:c r="I969" s="18" t="str">
        <x:v>10181909-1949-0367-0000-d6f424f63198</x:v>
      </x:c>
      <x:c r="J969" s="18" t="str">
        <x:v>No</x:v>
      </x:c>
    </x:row>
    <x:row r="970" ht="34" customHeight="1">
      <x:c r="A970" s="18" t="str">
        <x:v>virtual-drum-kit</x:v>
      </x:c>
      <x:c r="B970" s="18" t="str">
        <x:v>bateria virtual</x:v>
      </x:c>
      <x:c r="C970" s="19" t="n">
        <x:v>27100</x:v>
      </x:c>
      <x:c r="D970" s="18" t="str">
        <x:v>No</x:v>
      </x:c>
      <x:c r="E970" s="18" t="str">
        <x:v>2025-10 / 2026-09</x:v>
      </x:c>
      <x:c r="F970" s="18" t="str">
        <x:v>Global · sin filtro de idioma</x:v>
      </x:c>
      <x:c r="G970" s="18" t="str">
        <x:v>search_volume</x:v>
      </x:c>
      <x:c r="H970" s="18" t="str">
        <x:v>global-candidates.json</x:v>
      </x:c>
      <x:c r="I970" s="18" t="str">
        <x:v>10181909-1949-0367-0000-d6f424f63198</x:v>
      </x:c>
      <x:c r="J970" s="18" t="str">
        <x:v>No</x:v>
      </x:c>
    </x:row>
    <x:row r="971" ht="34" customHeight="1">
      <x:c r="A971" s="18" t="str">
        <x:v>music-practice-log</x:v>
      </x:c>
      <x:c r="B971" s="18" t="str">
        <x:v>music practice planner</x:v>
      </x:c>
      <x:c r="C971" s="19" t="n">
        <x:v>110</x:v>
      </x:c>
      <x:c r="D971" s="18" t="str">
        <x:v>No</x:v>
      </x:c>
      <x:c r="E971" s="18" t="str">
        <x:v>2025-10 / 2026-09</x:v>
      </x:c>
      <x:c r="F971" s="18" t="str">
        <x:v>Global · sin filtro de idioma</x:v>
      </x:c>
      <x:c r="G971" s="18" t="str">
        <x:v>search_volume</x:v>
      </x:c>
      <x:c r="H971" s="18" t="str">
        <x:v>global-candidates.json</x:v>
      </x:c>
      <x:c r="I971" s="18" t="str">
        <x:v>10181909-1949-0367-0000-d6f424f63198</x:v>
      </x:c>
      <x:c r="J971" s="18" t="str">
        <x:v>No</x:v>
      </x:c>
    </x:row>
    <x:row r="972" ht="34" customHeight="1">
      <x:c r="A972" s="18" t="str">
        <x:v>music-practice-log</x:v>
      </x:c>
      <x:c r="B972" s="18" t="str">
        <x:v>music practice log</x:v>
      </x:c>
      <x:c r="C972" s="19" t="n">
        <x:v>320</x:v>
      </x:c>
      <x:c r="D972" s="18" t="str">
        <x:v>Sí</x:v>
      </x:c>
      <x:c r="E972" s="18" t="str">
        <x:v>2025-10 / 2026-09</x:v>
      </x:c>
      <x:c r="F972" s="18" t="str">
        <x:v>Global · sin filtro de idioma</x:v>
      </x:c>
      <x:c r="G972" s="18" t="str">
        <x:v>search_volume</x:v>
      </x:c>
      <x:c r="H972" s="18" t="str">
        <x:v>global-candidates.json</x:v>
      </x:c>
      <x:c r="I972" s="18" t="str">
        <x:v>10181909-1949-0367-0000-d6f424f63198</x:v>
      </x:c>
      <x:c r="J972" s="18" t="str">
        <x:v>No</x:v>
      </x:c>
    </x:row>
    <x:row r="973" ht="34" customHeight="1">
      <x:c r="A973" s="18" t="str">
        <x:v>music-practice-log</x:v>
      </x:c>
      <x:c r="B973" s="18" t="str">
        <x:v>practice journal music</x:v>
      </x:c>
      <x:c r="C973" s="19" t="n">
        <x:v>320</x:v>
      </x:c>
      <x:c r="D973" s="18" t="str">
        <x:v>No</x:v>
      </x:c>
      <x:c r="E973" s="18" t="str">
        <x:v>2025-10 / 2026-09</x:v>
      </x:c>
      <x:c r="F973" s="18" t="str">
        <x:v>Global · sin filtro de idioma</x:v>
      </x:c>
      <x:c r="G973" s="18" t="str">
        <x:v>search_volume</x:v>
      </x:c>
      <x:c r="H973" s="18" t="str">
        <x:v>global-candidates.json</x:v>
      </x:c>
      <x:c r="I973" s="18" t="str">
        <x:v>10181909-1949-0367-0000-d6f424f63198</x:v>
      </x:c>
      <x:c r="J973" s="18" t="str">
        <x:v>No</x:v>
      </x:c>
    </x:row>
    <x:row r="974" ht="34" customHeight="1">
      <x:c r="A974" s="18" t="str">
        <x:v>chord-recognizer</x:v>
      </x:c>
      <x:c r="B974" s="18" t="str">
        <x:v>chord finder from audio</x:v>
      </x:c>
      <x:c r="C974" s="19" t="n">
        <x:v>1600</x:v>
      </x:c>
      <x:c r="D974" s="18" t="str">
        <x:v>No</x:v>
      </x:c>
      <x:c r="E974" s="18" t="str">
        <x:v>2025-10 / 2026-09</x:v>
      </x:c>
      <x:c r="F974" s="18" t="str">
        <x:v>Global · sin filtro de idioma</x:v>
      </x:c>
      <x:c r="G974" s="18" t="str">
        <x:v>search_volume</x:v>
      </x:c>
      <x:c r="H974" s="18" t="str">
        <x:v>global-candidates.json</x:v>
      </x:c>
      <x:c r="I974" s="18" t="str">
        <x:v>10181909-1949-0367-0000-d6f424f63198</x:v>
      </x:c>
      <x:c r="J974" s="18" t="str">
        <x:v>No</x:v>
      </x:c>
    </x:row>
    <x:row r="975" ht="34" customHeight="1">
      <x:c r="A975" s="18" t="str">
        <x:v>chord-recognizer</x:v>
      </x:c>
      <x:c r="B975" s="18" t="str">
        <x:v>chord recognition</x:v>
      </x:c>
      <x:c r="C975" s="19" t="n">
        <x:v>320</x:v>
      </x:c>
      <x:c r="D975" s="18" t="str">
        <x:v>No</x:v>
      </x:c>
      <x:c r="E975" s="18" t="str">
        <x:v>2025-10 / 2026-09</x:v>
      </x:c>
      <x:c r="F975" s="18" t="str">
        <x:v>Global · sin filtro de idioma</x:v>
      </x:c>
      <x:c r="G975" s="18" t="str">
        <x:v>search_volume</x:v>
      </x:c>
      <x:c r="H975" s="18" t="str">
        <x:v>global-candidates.json</x:v>
      </x:c>
      <x:c r="I975" s="18" t="str">
        <x:v>10181909-1949-0367-0000-d6f424f63198</x:v>
      </x:c>
      <x:c r="J975" s="18" t="str">
        <x:v>No</x:v>
      </x:c>
    </x:row>
    <x:row r="976" ht="34" customHeight="1">
      <x:c r="A976" s="18" t="str">
        <x:v>chord-recognizer</x:v>
      </x:c>
      <x:c r="B976" s="18" t="str">
        <x:v>chord detector</x:v>
      </x:c>
      <x:c r="C976" s="19" t="n">
        <x:v>3600</x:v>
      </x:c>
      <x:c r="D976" s="18" t="str">
        <x:v>Sí</x:v>
      </x:c>
      <x:c r="E976" s="18" t="str">
        <x:v>2025-10 / 2026-09</x:v>
      </x:c>
      <x:c r="F976" s="18" t="str">
        <x:v>Global · sin filtro de idioma</x:v>
      </x:c>
      <x:c r="G976" s="18" t="str">
        <x:v>search_volume</x:v>
      </x:c>
      <x:c r="H976" s="18" t="str">
        <x:v>global-candidates.json</x:v>
      </x:c>
      <x:c r="I976" s="18" t="str">
        <x:v>10181909-1949-0367-0000-d6f424f63198</x:v>
      </x:c>
      <x:c r="J976" s="18" t="str">
        <x:v>No</x:v>
      </x:c>
    </x:row>
    <x:row r="977" ht="34" customHeight="1">
      <x:c r="A977" s="18" t="str">
        <x:v>rhythm-trainer</x:v>
      </x:c>
      <x:c r="B977" s="18" t="str">
        <x:v>rhythm trainer</x:v>
      </x:c>
      <x:c r="C977" s="19" t="n">
        <x:v>5400</x:v>
      </x:c>
      <x:c r="D977" s="18" t="str">
        <x:v>Sí</x:v>
      </x:c>
      <x:c r="E977" s="18" t="str">
        <x:v>2025-10 / 2026-09</x:v>
      </x:c>
      <x:c r="F977" s="18" t="str">
        <x:v>Global · sin filtro de idioma</x:v>
      </x:c>
      <x:c r="G977" s="18" t="str">
        <x:v>search_volume</x:v>
      </x:c>
      <x:c r="H977" s="18" t="str">
        <x:v>global-candidates.json</x:v>
      </x:c>
      <x:c r="I977" s="18" t="str">
        <x:v>10181909-1949-0367-0000-d6f424f63198</x:v>
      </x:c>
      <x:c r="J977" s="18" t="str">
        <x:v>No</x:v>
      </x:c>
    </x:row>
    <x:row r="978" ht="34" customHeight="1">
      <x:c r="A978" s="18" t="str">
        <x:v>rhythm-trainer</x:v>
      </x:c>
      <x:c r="B978" s="18" t="str">
        <x:v>rhythm training</x:v>
      </x:c>
      <x:c r="C978" s="19" t="n">
        <x:v>5400</x:v>
      </x:c>
      <x:c r="D978" s="18" t="str">
        <x:v>No</x:v>
      </x:c>
      <x:c r="E978" s="18" t="str">
        <x:v>2025-10 / 2026-09</x:v>
      </x:c>
      <x:c r="F978" s="18" t="str">
        <x:v>Global · sin filtro de idioma</x:v>
      </x:c>
      <x:c r="G978" s="18" t="str">
        <x:v>search_volume</x:v>
      </x:c>
      <x:c r="H978" s="18" t="str">
        <x:v>global-candidates.json</x:v>
      </x:c>
      <x:c r="I978" s="18" t="str">
        <x:v>10181909-1949-0367-0000-d6f424f63198</x:v>
      </x:c>
      <x:c r="J978" s="18" t="str">
        <x:v>No</x:v>
      </x:c>
    </x:row>
    <x:row r="979" ht="34" customHeight="1">
      <x:c r="A979" s="18" t="str">
        <x:v>rhythm-trainer</x:v>
      </x:c>
      <x:c r="B979" s="18" t="str">
        <x:v>rhythm practice</x:v>
      </x:c>
      <x:c r="C979" s="19" t="n">
        <x:v>1600</x:v>
      </x:c>
      <x:c r="D979" s="18" t="str">
        <x:v>No</x:v>
      </x:c>
      <x:c r="E979" s="18" t="str">
        <x:v>2025-10 / 2026-09</x:v>
      </x:c>
      <x:c r="F979" s="18" t="str">
        <x:v>Global · sin filtro de idioma</x:v>
      </x:c>
      <x:c r="G979" s="18" t="str">
        <x:v>search_volume</x:v>
      </x:c>
      <x:c r="H979" s="18" t="str">
        <x:v>global-candidates.json</x:v>
      </x:c>
      <x:c r="I979" s="18" t="str">
        <x:v>10181909-1949-0367-0000-d6f424f63198</x:v>
      </x:c>
      <x:c r="J979" s="18" t="str">
        <x:v>No</x:v>
      </x:c>
    </x:row>
    <x:row r="980" ht="34" customHeight="1">
      <x:c r="A980" s="18" t="str">
        <x:v>music-interval-calculator</x:v>
      </x:c>
      <x:c r="B980" s="18" t="str">
        <x:v>music interval calculator</x:v>
      </x:c>
      <x:c r="C980" s="19" t="n">
        <x:v>880</x:v>
      </x:c>
      <x:c r="D980" s="18" t="str">
        <x:v>No</x:v>
      </x:c>
      <x:c r="E980" s="18" t="str">
        <x:v>2025-10 / 2026-09</x:v>
      </x:c>
      <x:c r="F980" s="18" t="str">
        <x:v>Global · sin filtro de idioma</x:v>
      </x:c>
      <x:c r="G980" s="18" t="str">
        <x:v>search_volume</x:v>
      </x:c>
      <x:c r="H980" s="18" t="str">
        <x:v>global-initial-screen.json</x:v>
      </x:c>
      <x:c r="I980" s="18" t="str">
        <x:v>10181645-1949-0367-0000-721aab5cac1a</x:v>
      </x:c>
      <x:c r="J980" s="18" t="str">
        <x:v>No</x:v>
      </x:c>
    </x:row>
    <x:row r="981" ht="34" customHeight="1">
      <x:c r="A981" s="18" t="str">
        <x:v>music-interval-calculator</x:v>
      </x:c>
      <x:c r="B981" s="18" t="str">
        <x:v>interval calculator music</x:v>
      </x:c>
      <x:c r="C981" s="19" t="n">
        <x:v>880</x:v>
      </x:c>
      <x:c r="D981" s="18" t="str">
        <x:v>No</x:v>
      </x:c>
      <x:c r="E981" s="18" t="str">
        <x:v>2025-10 / 2026-09</x:v>
      </x:c>
      <x:c r="F981" s="18" t="str">
        <x:v>Global · sin filtro de idioma</x:v>
      </x:c>
      <x:c r="G981" s="18" t="str">
        <x:v>search_volume</x:v>
      </x:c>
      <x:c r="H981" s="18" t="str">
        <x:v>global-candidates.json</x:v>
      </x:c>
      <x:c r="I981" s="18" t="str">
        <x:v>10181909-1949-0367-0000-d6f424f63198</x:v>
      </x:c>
      <x:c r="J981" s="18" t="str">
        <x:v>No</x:v>
      </x:c>
    </x:row>
    <x:row r="982" ht="34" customHeight="1">
      <x:c r="A982" s="18" t="str">
        <x:v>music-interval-calculator</x:v>
      </x:c>
      <x:c r="B982" s="18" t="str">
        <x:v>intervalos musicales</x:v>
      </x:c>
      <x:c r="C982" s="19" t="n">
        <x:v>9900</x:v>
      </x:c>
      <x:c r="D982" s="18" t="str">
        <x:v>Sí</x:v>
      </x:c>
      <x:c r="E982" s="18" t="str">
        <x:v>2025-10 / 2026-09</x:v>
      </x:c>
      <x:c r="F982" s="18" t="str">
        <x:v>Global · sin filtro de idioma</x:v>
      </x:c>
      <x:c r="G982" s="18" t="str">
        <x:v>search_volume</x:v>
      </x:c>
      <x:c r="H982" s="18" t="str">
        <x:v>global-candidates.json</x:v>
      </x:c>
      <x:c r="I982" s="18" t="str">
        <x:v>10181909-1949-0367-0000-d6f424f63198</x:v>
      </x:c>
      <x:c r="J982" s="18" t="str">
        <x:v>No</x:v>
      </x:c>
    </x:row>
    <x:row r="983" ht="34" customHeight="1">
      <x:c r="A983" s="18" t="str">
        <x:v>temperament-tuning-tool</x:v>
      </x:c>
      <x:c r="B983" s="18" t="str">
        <x:v>temperament calculator</x:v>
      </x:c>
      <x:c r="C983" s="19" t="n">
        <x:v>20</x:v>
      </x:c>
      <x:c r="D983" s="18" t="str">
        <x:v>No</x:v>
      </x:c>
      <x:c r="E983" s="18" t="str">
        <x:v>2025-10 / 2026-09</x:v>
      </x:c>
      <x:c r="F983" s="18" t="str">
        <x:v>Global · sin filtro de idioma</x:v>
      </x:c>
      <x:c r="G983" s="18" t="str">
        <x:v>search_volume</x:v>
      </x:c>
      <x:c r="H983" s="18" t="str">
        <x:v>global-candidates.json</x:v>
      </x:c>
      <x:c r="I983" s="18" t="str">
        <x:v>10181909-1949-0367-0000-d6f424f63198</x:v>
      </x:c>
      <x:c r="J983" s="18" t="str">
        <x:v>No</x:v>
      </x:c>
    </x:row>
    <x:row r="984" ht="34" customHeight="1">
      <x:c r="A984" s="18" t="str">
        <x:v>temperament-tuning-tool</x:v>
      </x:c>
      <x:c r="B984" s="18" t="str">
        <x:v>just intonation calculator</x:v>
      </x:c>
      <x:c r="C984" s="19" t="n">
        <x:v>30</x:v>
      </x:c>
      <x:c r="D984" s="18" t="str">
        <x:v>No</x:v>
      </x:c>
      <x:c r="E984" s="18" t="str">
        <x:v>2025-10 / 2026-09</x:v>
      </x:c>
      <x:c r="F984" s="18" t="str">
        <x:v>Global · sin filtro de idioma</x:v>
      </x:c>
      <x:c r="G984" s="18" t="str">
        <x:v>search_volume</x:v>
      </x:c>
      <x:c r="H984" s="18" t="str">
        <x:v>global-candidates.json</x:v>
      </x:c>
      <x:c r="I984" s="18" t="str">
        <x:v>10181909-1949-0367-0000-d6f424f63198</x:v>
      </x:c>
      <x:c r="J984" s="18" t="str">
        <x:v>No</x:v>
      </x:c>
    </x:row>
    <x:row r="985" ht="34" customHeight="1">
      <x:c r="A985" s="18" t="str">
        <x:v>temperament-tuning-tool</x:v>
      </x:c>
      <x:c r="B985" s="18" t="str">
        <x:v>tuning calculator</x:v>
      </x:c>
      <x:c r="C985" s="19" t="n">
        <x:v>390</x:v>
      </x:c>
      <x:c r="D985" s="18" t="str">
        <x:v>Sí</x:v>
      </x:c>
      <x:c r="E985" s="18" t="str">
        <x:v>2025-10 / 2026-09</x:v>
      </x:c>
      <x:c r="F985" s="18" t="str">
        <x:v>Global · sin filtro de idioma</x:v>
      </x:c>
      <x:c r="G985" s="18" t="str">
        <x:v>search_volume</x:v>
      </x:c>
      <x:c r="H985" s="18" t="str">
        <x:v>global-candidates.json</x:v>
      </x:c>
      <x:c r="I985" s="18" t="str">
        <x:v>10181909-1949-0367-0000-d6f424f63198</x:v>
      </x:c>
      <x:c r="J985" s="18" t="str">
        <x:v>No</x:v>
      </x:c>
    </x:row>
    <x:row r="986" ht="34" customHeight="1">
      <x:c r="A986" s="18" t="str">
        <x:v>sample-slicer</x:v>
      </x:c>
      <x:c r="B986" s="18" t="str">
        <x:v>sample slicer</x:v>
      </x:c>
      <x:c r="C986" s="19" t="n">
        <x:v>90</x:v>
      </x:c>
      <x:c r="D986" s="18" t="str">
        <x:v>No</x:v>
      </x:c>
      <x:c r="E986" s="18" t="str">
        <x:v>2025-10 / 2026-09</x:v>
      </x:c>
      <x:c r="F986" s="18" t="str">
        <x:v>Global · sin filtro de idioma</x:v>
      </x:c>
      <x:c r="G986" s="18" t="str">
        <x:v>search_volume</x:v>
      </x:c>
      <x:c r="H986" s="18" t="str">
        <x:v>global-candidates.json</x:v>
      </x:c>
      <x:c r="I986" s="18" t="str">
        <x:v>10181909-1949-0367-0000-d6f424f63198</x:v>
      </x:c>
      <x:c r="J986" s="18" t="str">
        <x:v>No</x:v>
      </x:c>
    </x:row>
    <x:row r="987" ht="34" customHeight="1">
      <x:c r="A987" s="18" t="str">
        <x:v>sample-slicer</x:v>
      </x:c>
      <x:c r="B987" s="18" t="str">
        <x:v>beat slicer</x:v>
      </x:c>
      <x:c r="C987" s="19" t="n">
        <x:v>140</x:v>
      </x:c>
      <x:c r="D987" s="18" t="str">
        <x:v>No</x:v>
      </x:c>
      <x:c r="E987" s="18" t="str">
        <x:v>2025-10 / 2026-09</x:v>
      </x:c>
      <x:c r="F987" s="18" t="str">
        <x:v>Global · sin filtro de idioma</x:v>
      </x:c>
      <x:c r="G987" s="18" t="str">
        <x:v>search_volume</x:v>
      </x:c>
      <x:c r="H987" s="18" t="str">
        <x:v>global-candidates.json</x:v>
      </x:c>
      <x:c r="I987" s="18" t="str">
        <x:v>10181909-1949-0367-0000-d6f424f63198</x:v>
      </x:c>
      <x:c r="J987" s="18" t="str">
        <x:v>No</x:v>
      </x:c>
    </x:row>
    <x:row r="988" ht="34" customHeight="1">
      <x:c r="A988" s="18" t="str">
        <x:v>sample-slicer</x:v>
      </x:c>
      <x:c r="B988" s="18" t="str">
        <x:v>audio slicer</x:v>
      </x:c>
      <x:c r="C988" s="19" t="n">
        <x:v>590</x:v>
      </x:c>
      <x:c r="D988" s="18" t="str">
        <x:v>Sí</x:v>
      </x:c>
      <x:c r="E988" s="18" t="str">
        <x:v>2025-10 / 2026-09</x:v>
      </x:c>
      <x:c r="F988" s="18" t="str">
        <x:v>Global · sin filtro de idioma</x:v>
      </x:c>
      <x:c r="G988" s="18" t="str">
        <x:v>search_volume</x:v>
      </x:c>
      <x:c r="H988" s="18" t="str">
        <x:v>global-candidates.json</x:v>
      </x:c>
      <x:c r="I988" s="18" t="str">
        <x:v>10181909-1949-0367-0000-d6f424f63198</x:v>
      </x:c>
      <x:c r="J988" s="18" t="str">
        <x:v>No</x:v>
      </x:c>
    </x:row>
    <x:row r="989" ht="34" customHeight="1">
      <x:c r="A989" s="18" t="str">
        <x:v>soundboard</x:v>
      </x:c>
      <x:c r="B989" s="18" t="str">
        <x:v>soundboard</x:v>
      </x:c>
      <x:c r="C989" s="19" t="n">
        <x:v>3350000</x:v>
      </x:c>
      <x:c r="D989" s="18" t="str">
        <x:v>Sí</x:v>
      </x:c>
      <x:c r="E989" s="18" t="str">
        <x:v>2025-10 / 2026-09</x:v>
      </x:c>
      <x:c r="F989" s="18" t="str">
        <x:v>Global · sin filtro de idioma</x:v>
      </x:c>
      <x:c r="G989" s="18" t="str">
        <x:v>search_volume</x:v>
      </x:c>
      <x:c r="H989" s="18" t="str">
        <x:v>global-initial-screen.json</x:v>
      </x:c>
      <x:c r="I989" s="18" t="str">
        <x:v>10181645-1949-0367-0000-721aab5cac1a</x:v>
      </x:c>
      <x:c r="J989" s="18" t="str">
        <x:v>No</x:v>
      </x:c>
    </x:row>
    <x:row r="990" ht="34" customHeight="1">
      <x:c r="A990" s="18" t="str">
        <x:v>soundboard</x:v>
      </x:c>
      <x:c r="B990" s="18" t="str">
        <x:v>sound board</x:v>
      </x:c>
      <x:c r="C990" s="19" t="n">
        <x:v>673000</x:v>
      </x:c>
      <x:c r="D990" s="18" t="str">
        <x:v>No</x:v>
      </x:c>
      <x:c r="E990" s="18" t="str">
        <x:v>2025-10 / 2026-09</x:v>
      </x:c>
      <x:c r="F990" s="18" t="str">
        <x:v>Global · sin filtro de idioma</x:v>
      </x:c>
      <x:c r="G990" s="18" t="str">
        <x:v>search_volume</x:v>
      </x:c>
      <x:c r="H990" s="18" t="str">
        <x:v>global-candidates.json</x:v>
      </x:c>
      <x:c r="I990" s="18" t="str">
        <x:v>10181909-1949-0367-0000-d6f424f63198</x:v>
      </x:c>
      <x:c r="J990" s="18" t="str">
        <x:v>No</x:v>
      </x:c>
    </x:row>
    <x:row r="991" ht="34" customHeight="1">
      <x:c r="A991" s="18" t="str">
        <x:v>soundboard</x:v>
      </x:c>
      <x:c r="B991" s="18" t="str">
        <x:v>sonidos botones</x:v>
      </x:c>
      <x:c r="C991" s="19" t="n">
        <x:v>49500</x:v>
      </x:c>
      <x:c r="D991" s="18" t="str">
        <x:v>No</x:v>
      </x:c>
      <x:c r="E991" s="18" t="str">
        <x:v>2025-10 / 2026-09</x:v>
      </x:c>
      <x:c r="F991" s="18" t="str">
        <x:v>Global · sin filtro de idioma</x:v>
      </x:c>
      <x:c r="G991" s="18" t="str">
        <x:v>search_volume</x:v>
      </x:c>
      <x:c r="H991" s="18" t="str">
        <x:v>global-candidates.json</x:v>
      </x:c>
      <x:c r="I991" s="18" t="str">
        <x:v>10181909-1949-0367-0000-d6f424f63198</x:v>
      </x:c>
      <x:c r="J991" s="18" t="str">
        <x:v>No</x:v>
      </x:c>
    </x:row>
    <x:row r="992" ht="34" customHeight="1">
      <x:c r="A992" s="18" t="str">
        <x:v>karaoke-lyrics-editor</x:v>
      </x:c>
      <x:c r="B992" s="18" t="str">
        <x:v>karaoke maker</x:v>
      </x:c>
      <x:c r="C992" s="19" t="n">
        <x:v>14800</x:v>
      </x:c>
      <x:c r="D992" s="18" t="str">
        <x:v>Sí</x:v>
      </x:c>
      <x:c r="E992" s="18" t="str">
        <x:v>2025-10 / 2026-09</x:v>
      </x:c>
      <x:c r="F992" s="18" t="str">
        <x:v>Global · sin filtro de idioma</x:v>
      </x:c>
      <x:c r="G992" s="18" t="str">
        <x:v>search_volume</x:v>
      </x:c>
      <x:c r="H992" s="18" t="str">
        <x:v>global-initial-screen.json</x:v>
      </x:c>
      <x:c r="I992" s="18" t="str">
        <x:v>10181645-1949-0367-0000-721aab5cac1a</x:v>
      </x:c>
      <x:c r="J992" s="18" t="str">
        <x:v>No</x:v>
      </x:c>
    </x:row>
    <x:row r="993" ht="34" customHeight="1">
      <x:c r="A993" s="18" t="str">
        <x:v>karaoke-lyrics-editor</x:v>
      </x:c>
      <x:c r="B993" s="18" t="str">
        <x:v>lyrics video maker</x:v>
      </x:c>
      <x:c r="C993" s="19" t="n">
        <x:v>14800</x:v>
      </x:c>
      <x:c r="D993" s="18" t="str">
        <x:v>No</x:v>
      </x:c>
      <x:c r="E993" s="18" t="str">
        <x:v>2025-10 / 2026-09</x:v>
      </x:c>
      <x:c r="F993" s="18" t="str">
        <x:v>Global · sin filtro de idioma</x:v>
      </x:c>
      <x:c r="G993" s="18" t="str">
        <x:v>search_volume</x:v>
      </x:c>
      <x:c r="H993" s="18" t="str">
        <x:v>global-candidates.json</x:v>
      </x:c>
      <x:c r="I993" s="18" t="str">
        <x:v>10181909-1949-0367-0000-d6f424f63198</x:v>
      </x:c>
      <x:c r="J993" s="18" t="str">
        <x:v>No</x:v>
      </x:c>
    </x:row>
    <x:row r="994" ht="34" customHeight="1">
      <x:c r="A994" s="18" t="str">
        <x:v>karaoke-lyrics-editor</x:v>
      </x:c>
      <x:c r="B994" s="18" t="str">
        <x:v>karaoke creator</x:v>
      </x:c>
      <x:c r="C994" s="19" t="n">
        <x:v>590</x:v>
      </x:c>
      <x:c r="D994" s="18" t="str">
        <x:v>No</x:v>
      </x:c>
      <x:c r="E994" s="18" t="str">
        <x:v>2025-10 / 2026-09</x:v>
      </x:c>
      <x:c r="F994" s="18" t="str">
        <x:v>Global · sin filtro de idioma</x:v>
      </x:c>
      <x:c r="G994" s="18" t="str">
        <x:v>search_volume</x:v>
      </x:c>
      <x:c r="H994" s="18" t="str">
        <x:v>global-candidates.json</x:v>
      </x:c>
      <x:c r="I994" s="18" t="str">
        <x:v>10181909-1949-0367-0000-d6f424f63198</x:v>
      </x:c>
      <x:c r="J994" s="18" t="str">
        <x:v>No</x:v>
      </x:c>
    </x:row>
    <x:row r="995" ht="34" customHeight="1">
      <x:c r="A995" s="18" t="str">
        <x:v>sheet-music-scanner</x:v>
      </x:c>
      <x:c r="B995" s="18" t="str">
        <x:v>sheet music scanner</x:v>
      </x:c>
      <x:c r="C995" s="19" t="n">
        <x:v>4400</x:v>
      </x:c>
      <x:c r="D995" s="18" t="str">
        <x:v>Sí</x:v>
      </x:c>
      <x:c r="E995" s="18" t="str">
        <x:v>2025-10 / 2026-09</x:v>
      </x:c>
      <x:c r="F995" s="18" t="str">
        <x:v>Global · sin filtro de idioma</x:v>
      </x:c>
      <x:c r="G995" s="18" t="str">
        <x:v>search_volume</x:v>
      </x:c>
      <x:c r="H995" s="18" t="str">
        <x:v>global-candidates.json</x:v>
      </x:c>
      <x:c r="I995" s="18" t="str">
        <x:v>10181909-1949-0367-0000-d6f424f63198</x:v>
      </x:c>
      <x:c r="J995" s="18" t="str">
        <x:v>No</x:v>
      </x:c>
    </x:row>
    <x:row r="996" ht="34" customHeight="1">
      <x:c r="A996" s="18" t="str">
        <x:v>sheet-music-scanner</x:v>
      </x:c>
      <x:c r="B996" s="18" t="str">
        <x:v>music ocr</x:v>
      </x:c>
      <x:c r="C996" s="19" t="n">
        <x:v>260</x:v>
      </x:c>
      <x:c r="D996" s="18" t="str">
        <x:v>No</x:v>
      </x:c>
      <x:c r="E996" s="18" t="str">
        <x:v>2025-10 / 2026-09</x:v>
      </x:c>
      <x:c r="F996" s="18" t="str">
        <x:v>Global · sin filtro de idioma</x:v>
      </x:c>
      <x:c r="G996" s="18" t="str">
        <x:v>search_volume</x:v>
      </x:c>
      <x:c r="H996" s="18" t="str">
        <x:v>global-candidates.json</x:v>
      </x:c>
      <x:c r="I996" s="18" t="str">
        <x:v>10181909-1949-0367-0000-d6f424f63198</x:v>
      </x:c>
      <x:c r="J996" s="18" t="str">
        <x:v>No</x:v>
      </x:c>
    </x:row>
    <x:row r="997" ht="34" customHeight="1">
      <x:c r="A997" s="18" t="str">
        <x:v>sheet-music-scanner</x:v>
      </x:c>
      <x:c r="B997" s="18" t="str">
        <x:v>photo sheet music to midi</x:v>
      </x:c>
      <x:c r="C997" s="19" t="str">
        <x:v>n.a.</x:v>
      </x:c>
      <x:c r="D997" s="18" t="str">
        <x:v>No</x:v>
      </x:c>
      <x:c r="E997" s="18" t="str">
        <x:v>n.a.</x:v>
      </x:c>
      <x:c r="F997" s="18" t="str">
        <x:v>Global · sin filtro de idioma</x:v>
      </x:c>
      <x:c r="G997" s="18" t="str">
        <x:v>search_volume</x:v>
      </x:c>
      <x:c r="H997" s="18" t="str">
        <x:v>global-candidates.json</x:v>
      </x:c>
      <x:c r="I997" s="18" t="str">
        <x:v>10181909-1949-0367-0000-d6f424f63198</x:v>
      </x:c>
      <x:c r="J997" s="18" t="str">
        <x:v>No</x:v>
      </x:c>
    </x:row>
    <x:row r="998" ht="34" customHeight="1">
      <x:c r="A998" s="18" t="str">
        <x:v>midi-arranger</x:v>
      </x:c>
      <x:c r="B998" s="18" t="str">
        <x:v>midi editor</x:v>
      </x:c>
      <x:c r="C998" s="19" t="n">
        <x:v>8100</x:v>
      </x:c>
      <x:c r="D998" s="18" t="str">
        <x:v>Sí</x:v>
      </x:c>
      <x:c r="E998" s="18" t="str">
        <x:v>2025-10 / 2026-09</x:v>
      </x:c>
      <x:c r="F998" s="18" t="str">
        <x:v>Global · sin filtro de idioma</x:v>
      </x:c>
      <x:c r="G998" s="18" t="str">
        <x:v>search_volume</x:v>
      </x:c>
      <x:c r="H998" s="18" t="str">
        <x:v>global-candidates.json</x:v>
      </x:c>
      <x:c r="I998" s="18" t="str">
        <x:v>10181909-1949-0367-0000-d6f424f63198</x:v>
      </x:c>
      <x:c r="J998" s="18" t="str">
        <x:v>No</x:v>
      </x:c>
    </x:row>
    <x:row r="999" ht="34" customHeight="1">
      <x:c r="A999" s="18" t="str">
        <x:v>midi-arranger</x:v>
      </x:c>
      <x:c r="B999" s="18" t="str">
        <x:v>midi editor online</x:v>
      </x:c>
      <x:c r="C999" s="19" t="n">
        <x:v>6600</x:v>
      </x:c>
      <x:c r="D999" s="18" t="str">
        <x:v>No</x:v>
      </x:c>
      <x:c r="E999" s="18" t="str">
        <x:v>2025-10 / 2026-09</x:v>
      </x:c>
      <x:c r="F999" s="18" t="str">
        <x:v>Global · sin filtro de idioma</x:v>
      </x:c>
      <x:c r="G999" s="18" t="str">
        <x:v>search_volume</x:v>
      </x:c>
      <x:c r="H999" s="18" t="str">
        <x:v>global-candidates.json</x:v>
      </x:c>
      <x:c r="I999" s="18" t="str">
        <x:v>10181909-1949-0367-0000-d6f424f63198</x:v>
      </x:c>
      <x:c r="J999" s="18" t="str">
        <x:v>No</x:v>
      </x:c>
    </x:row>
    <x:row r="1000" ht="34" customHeight="1">
      <x:c r="A1000" s="18" t="str">
        <x:v>midi-arranger</x:v>
      </x:c>
      <x:c r="B1000" s="18" t="str">
        <x:v>edit midi</x:v>
      </x:c>
      <x:c r="C1000" s="19" t="n">
        <x:v>8100</x:v>
      </x:c>
      <x:c r="D1000" s="18" t="str">
        <x:v>No</x:v>
      </x:c>
      <x:c r="E1000" s="18" t="str">
        <x:v>2025-10 / 2026-09</x:v>
      </x:c>
      <x:c r="F1000" s="18" t="str">
        <x:v>Global · sin filtro de idioma</x:v>
      </x:c>
      <x:c r="G1000" s="18" t="str">
        <x:v>search_volume</x:v>
      </x:c>
      <x:c r="H1000" s="18" t="str">
        <x:v>global-candidates.json</x:v>
      </x:c>
      <x:c r="I1000" s="18" t="str">
        <x:v>10181909-1949-0367-0000-d6f424f63198</x:v>
      </x:c>
      <x:c r="J1000" s="18" t="str">
        <x:v>No</x:v>
      </x:c>
    </x:row>
    <x:row r="1001" ht="34" customHeight="1">
      <x:c r="A1001" s="18" t="str">
        <x:v>music-transposition</x:v>
      </x:c>
      <x:c r="B1001" s="18" t="str">
        <x:v>transpose music</x:v>
      </x:c>
      <x:c r="C1001" s="19" t="n">
        <x:v>4400</x:v>
      </x:c>
      <x:c r="D1001" s="18" t="str">
        <x:v>Sí</x:v>
      </x:c>
      <x:c r="E1001" s="18" t="str">
        <x:v>2025-10 / 2026-09</x:v>
      </x:c>
      <x:c r="F1001" s="18" t="str">
        <x:v>Global · sin filtro de idioma</x:v>
      </x:c>
      <x:c r="G1001" s="18" t="str">
        <x:v>search_volume</x:v>
      </x:c>
      <x:c r="H1001" s="18" t="str">
        <x:v>global-candidates.json</x:v>
      </x:c>
      <x:c r="I1001" s="18" t="str">
        <x:v>10181909-1949-0367-0000-d6f424f63198</x:v>
      </x:c>
      <x:c r="J1001" s="18" t="str">
        <x:v>No</x:v>
      </x:c>
    </x:row>
    <x:row r="1002" ht="34" customHeight="1">
      <x:c r="A1002" s="18" t="str">
        <x:v>music-transposition</x:v>
      </x:c>
      <x:c r="B1002" s="18" t="str">
        <x:v>music transposer</x:v>
      </x:c>
      <x:c r="C1002" s="19" t="n">
        <x:v>4400</x:v>
      </x:c>
      <x:c r="D1002" s="18" t="str">
        <x:v>No</x:v>
      </x:c>
      <x:c r="E1002" s="18" t="str">
        <x:v>2025-10 / 2026-09</x:v>
      </x:c>
      <x:c r="F1002" s="18" t="str">
        <x:v>Global · sin filtro de idioma</x:v>
      </x:c>
      <x:c r="G1002" s="18" t="str">
        <x:v>search_volume</x:v>
      </x:c>
      <x:c r="H1002" s="18" t="str">
        <x:v>global-initial-screen.json</x:v>
      </x:c>
      <x:c r="I1002" s="18" t="str">
        <x:v>10181645-1949-0367-0000-721aab5cac1a</x:v>
      </x:c>
      <x:c r="J1002" s="18" t="str">
        <x:v>No</x:v>
      </x:c>
    </x:row>
    <x:row r="1003" ht="34" customHeight="1">
      <x:c r="A1003" s="18" t="str">
        <x:v>music-transposition</x:v>
      </x:c>
      <x:c r="B1003" s="18" t="str">
        <x:v>transponer partitura</x:v>
      </x:c>
      <x:c r="C1003" s="19" t="str">
        <x:v>n.a.</x:v>
      </x:c>
      <x:c r="D1003" s="18" t="str">
        <x:v>No</x:v>
      </x:c>
      <x:c r="E1003" s="18" t="str">
        <x:v>n.a.</x:v>
      </x:c>
      <x:c r="F1003" s="18" t="str">
        <x:v>Global · sin filtro de idioma</x:v>
      </x:c>
      <x:c r="G1003" s="18" t="str">
        <x:v>search_volume</x:v>
      </x:c>
      <x:c r="H1003" s="18" t="str">
        <x:v>global-candidates.json</x:v>
      </x:c>
      <x:c r="I1003" s="18" t="str">
        <x:v>10181909-1949-0367-0000-d6f424f63198</x:v>
      </x:c>
      <x:c r="J1003" s="18" t="str">
        <x:v>No</x:v>
      </x:c>
    </x:row>
    <x:row r="1004" ht="34" customHeight="1">
      <x:c r="A1004" s="18" t="str">
        <x:v>internet-speed-test</x:v>
      </x:c>
      <x:c r="B1004" s="18" t="str">
        <x:v>internet speed test</x:v>
      </x:c>
      <x:c r="C1004" s="19" t="n">
        <x:v>20400000</x:v>
      </x:c>
      <x:c r="D1004" s="18" t="str">
        <x:v>No</x:v>
      </x:c>
      <x:c r="E1004" s="18" t="str">
        <x:v>2025-10 / 2026-09</x:v>
      </x:c>
      <x:c r="F1004" s="18" t="str">
        <x:v>Global · sin filtro de idioma</x:v>
      </x:c>
      <x:c r="G1004" s="18" t="str">
        <x:v>search_volume</x:v>
      </x:c>
      <x:c r="H1004" s="18" t="str">
        <x:v>global-initial-screen.json</x:v>
      </x:c>
      <x:c r="I1004" s="18" t="str">
        <x:v>10181645-1949-0367-0000-721aab5cac1a</x:v>
      </x:c>
      <x:c r="J1004" s="18" t="str">
        <x:v>No</x:v>
      </x:c>
    </x:row>
    <x:row r="1005" ht="34" customHeight="1">
      <x:c r="A1005" s="18" t="str">
        <x:v>internet-speed-test</x:v>
      </x:c>
      <x:c r="B1005" s="18" t="str">
        <x:v>speed test</x:v>
      </x:c>
      <x:c r="C1005" s="19" t="n">
        <x:v>101000000</x:v>
      </x:c>
      <x:c r="D1005" s="18" t="str">
        <x:v>Sí</x:v>
      </x:c>
      <x:c r="E1005" s="18" t="str">
        <x:v>2025-10 / 2026-09</x:v>
      </x:c>
      <x:c r="F1005" s="18" t="str">
        <x:v>Global · sin filtro de idioma</x:v>
      </x:c>
      <x:c r="G1005" s="18" t="str">
        <x:v>search_volume</x:v>
      </x:c>
      <x:c r="H1005" s="18" t="str">
        <x:v>global-initial-screen.json</x:v>
      </x:c>
      <x:c r="I1005" s="18" t="str">
        <x:v>10181645-1949-0367-0000-721aab5cac1a</x:v>
      </x:c>
      <x:c r="J1005" s="18" t="str">
        <x:v>No</x:v>
      </x:c>
    </x:row>
    <x:row r="1006" ht="34" customHeight="1">
      <x:c r="A1006" s="18" t="str">
        <x:v>internet-speed-test</x:v>
      </x:c>
      <x:c r="B1006" s="18" t="str">
        <x:v>test velocidad</x:v>
      </x:c>
      <x:c r="C1006" s="19" t="n">
        <x:v>246000</x:v>
      </x:c>
      <x:c r="D1006" s="18" t="str">
        <x:v>No</x:v>
      </x:c>
      <x:c r="E1006" s="18" t="str">
        <x:v>2025-10 / 2026-09</x:v>
      </x:c>
      <x:c r="F1006" s="18" t="str">
        <x:v>Global · sin filtro de idioma</x:v>
      </x:c>
      <x:c r="G1006" s="18" t="str">
        <x:v>search_volume</x:v>
      </x:c>
      <x:c r="H1006" s="18" t="str">
        <x:v>global-extras.json</x:v>
      </x:c>
      <x:c r="I1006" s="18" t="str">
        <x:v>10181911-1949-0367-0000-7212b74720dd</x:v>
      </x:c>
      <x:c r="J1006" s="18" t="str">
        <x:v>No</x:v>
      </x:c>
    </x:row>
    <x:row r="1007" ht="34" customHeight="1">
      <x:c r="A1007" s="18" t="str">
        <x:v>local-ai-chat</x:v>
      </x:c>
      <x:c r="B1007" s="18" t="str">
        <x:v>ai chatbot</x:v>
      </x:c>
      <x:c r="C1007" s="19" t="n">
        <x:v>6120000</x:v>
      </x:c>
      <x:c r="D1007" s="18" t="str">
        <x:v>Sí</x:v>
      </x:c>
      <x:c r="E1007" s="18" t="str">
        <x:v>2025-10 / 2026-09</x:v>
      </x:c>
      <x:c r="F1007" s="18" t="str">
        <x:v>Global · sin filtro de idioma</x:v>
      </x:c>
      <x:c r="G1007" s="18" t="str">
        <x:v>search_volume</x:v>
      </x:c>
      <x:c r="H1007" s="18" t="str">
        <x:v>global-extras.json</x:v>
      </x:c>
      <x:c r="I1007" s="18" t="str">
        <x:v>10181911-1949-0367-0000-7212b74720dd</x:v>
      </x:c>
      <x:c r="J1007" s="18" t="str">
        <x:v>No</x:v>
      </x:c>
    </x:row>
    <x:row r="1008" ht="34" customHeight="1">
      <x:c r="A1008" s="18" t="str">
        <x:v>local-ai-chat</x:v>
      </x:c>
      <x:c r="B1008" s="18" t="str">
        <x:v>ai chat</x:v>
      </x:c>
      <x:c r="C1008" s="19" t="n">
        <x:v>6120000</x:v>
      </x:c>
      <x:c r="D1008" s="18" t="str">
        <x:v>No</x:v>
      </x:c>
      <x:c r="E1008" s="18" t="str">
        <x:v>2025-10 / 2026-09</x:v>
      </x:c>
      <x:c r="F1008" s="18" t="str">
        <x:v>Global · sin filtro de idioma</x:v>
      </x:c>
      <x:c r="G1008" s="18" t="str">
        <x:v>search_volume</x:v>
      </x:c>
      <x:c r="H1008" s="18" t="str">
        <x:v>global-extras.json</x:v>
      </x:c>
      <x:c r="I1008" s="18" t="str">
        <x:v>10181911-1949-0367-0000-7212b74720dd</x:v>
      </x:c>
      <x:c r="J1008" s="18" t="str">
        <x:v>No</x:v>
      </x:c>
    </x:row>
    <x:row r="1009" ht="34" customHeight="1">
      <x:c r="A1009" s="18" t="str">
        <x:v>local-ai-chat</x:v>
      </x:c>
      <x:c r="B1009" s="18" t="str">
        <x:v>chatbot ai</x:v>
      </x:c>
      <x:c r="C1009" s="19" t="n">
        <x:v>1000000</x:v>
      </x:c>
      <x:c r="D1009" s="18" t="str">
        <x:v>No</x:v>
      </x:c>
      <x:c r="E1009" s="18" t="str">
        <x:v>2025-10 / 2026-09</x:v>
      </x:c>
      <x:c r="F1009" s="18" t="str">
        <x:v>Global · sin filtro de idioma</x:v>
      </x:c>
      <x:c r="G1009" s="18" t="str">
        <x:v>search_volume</x:v>
      </x:c>
      <x:c r="H1009" s="18" t="str">
        <x:v>global-extras.json</x:v>
      </x:c>
      <x:c r="I1009" s="18" t="str">
        <x:v>10181911-1949-0367-0000-7212b74720dd</x:v>
      </x:c>
      <x:c r="J1009" s="18" t="str">
        <x:v>No</x:v>
      </x:c>
    </x:row>
    <x:row r="1010" ht="34" customHeight="1">
      <x:c r="A1010" s="18" t="str">
        <x:v>local-image-generator</x:v>
      </x:c>
      <x:c r="B1010" s="18" t="str">
        <x:v>ai image generator</x:v>
      </x:c>
      <x:c r="C1010" s="19" t="n">
        <x:v>2240000</x:v>
      </x:c>
      <x:c r="D1010" s="18" t="str">
        <x:v>Sí</x:v>
      </x:c>
      <x:c r="E1010" s="18" t="str">
        <x:v>2025-10 / 2026-09</x:v>
      </x:c>
      <x:c r="F1010" s="18" t="str">
        <x:v>Global · sin filtro de idioma</x:v>
      </x:c>
      <x:c r="G1010" s="18" t="str">
        <x:v>search_volume</x:v>
      </x:c>
      <x:c r="H1010" s="18" t="str">
        <x:v>global-initial-screen.json</x:v>
      </x:c>
      <x:c r="I1010" s="18" t="str">
        <x:v>10181645-1949-0367-0000-721aab5cac1a</x:v>
      </x:c>
      <x:c r="J1010" s="18" t="str">
        <x:v>No</x:v>
      </x:c>
    </x:row>
    <x:row r="1011" ht="34" customHeight="1">
      <x:c r="A1011" s="18" t="str">
        <x:v>local-image-generator</x:v>
      </x:c>
      <x:c r="B1011" s="18" t="str">
        <x:v>image generator</x:v>
      </x:c>
      <x:c r="C1011" s="19" t="n">
        <x:v>246000</x:v>
      </x:c>
      <x:c r="D1011" s="18" t="str">
        <x:v>No</x:v>
      </x:c>
      <x:c r="E1011" s="18" t="str">
        <x:v>2025-10 / 2026-09</x:v>
      </x:c>
      <x:c r="F1011" s="18" t="str">
        <x:v>Global · sin filtro de idioma</x:v>
      </x:c>
      <x:c r="G1011" s="18" t="str">
        <x:v>search_volume</x:v>
      </x:c>
      <x:c r="H1011" s="18" t="str">
        <x:v>global-extras.json</x:v>
      </x:c>
      <x:c r="I1011" s="18" t="str">
        <x:v>10181911-1949-0367-0000-7212b74720dd</x:v>
      </x:c>
      <x:c r="J1011" s="18" t="str">
        <x:v>No</x:v>
      </x:c>
    </x:row>
    <x:row r="1012" ht="34" customHeight="1">
      <x:c r="A1012" s="18" t="str">
        <x:v>local-image-generator</x:v>
      </x:c>
      <x:c r="B1012" s="18" t="str">
        <x:v>generador de imagenes ia</x:v>
      </x:c>
      <x:c r="C1012" s="19" t="n">
        <x:v>90500</x:v>
      </x:c>
      <x:c r="D1012" s="18" t="str">
        <x:v>No</x:v>
      </x:c>
      <x:c r="E1012" s="18" t="str">
        <x:v>2025-10 / 2026-09</x:v>
      </x:c>
      <x:c r="F1012" s="18" t="str">
        <x:v>Global · sin filtro de idioma</x:v>
      </x:c>
      <x:c r="G1012" s="18" t="str">
        <x:v>search_volume</x:v>
      </x:c>
      <x:c r="H1012" s="18" t="str">
        <x:v>global-extras.json</x:v>
      </x:c>
      <x:c r="I1012" s="18" t="str">
        <x:v>10181911-1949-0367-0000-7212b74720dd</x:v>
      </x:c>
      <x:c r="J1012" s="18" t="str">
        <x:v>No</x:v>
      </x:c>
    </x:row>
    <x:row r="1013" ht="34" customHeight="1">
      <x:c r="A1013" s="18" t="str">
        <x:v>local-music-generator</x:v>
      </x:c>
      <x:c r="B1013" s="18" t="str">
        <x:v>ai music generator</x:v>
      </x:c>
      <x:c r="C1013" s="19" t="n">
        <x:v>301000</x:v>
      </x:c>
      <x:c r="D1013" s="18" t="str">
        <x:v>Sí</x:v>
      </x:c>
      <x:c r="E1013" s="18" t="str">
        <x:v>2025-10 / 2026-09</x:v>
      </x:c>
      <x:c r="F1013" s="18" t="str">
        <x:v>Global · sin filtro de idioma</x:v>
      </x:c>
      <x:c r="G1013" s="18" t="str">
        <x:v>keywords_for_keywords</x:v>
      </x:c>
      <x:c r="H1013" s="18" t="str">
        <x:v>discovery-creative-learning.json</x:v>
      </x:c>
      <x:c r="I1013" s="18" t="str">
        <x:v>10181858-1949-0368-0000-9053a93ddd50</x:v>
      </x:c>
      <x:c r="J1013" s="18" t="str">
        <x:v>No</x:v>
      </x:c>
    </x:row>
    <x:row r="1014" ht="34" customHeight="1">
      <x:c r="A1014" s="18" t="str">
        <x:v>local-music-generator</x:v>
      </x:c>
      <x:c r="B1014" s="18" t="str">
        <x:v>ai song generator</x:v>
      </x:c>
      <x:c r="C1014" s="19" t="n">
        <x:v>246000</x:v>
      </x:c>
      <x:c r="D1014" s="18" t="str">
        <x:v>No</x:v>
      </x:c>
      <x:c r="E1014" s="18" t="str">
        <x:v>2025-10 / 2026-09</x:v>
      </x:c>
      <x:c r="F1014" s="18" t="str">
        <x:v>Global · sin filtro de idioma</x:v>
      </x:c>
      <x:c r="G1014" s="18" t="str">
        <x:v>keywords_for_keywords</x:v>
      </x:c>
      <x:c r="H1014" s="18" t="str">
        <x:v>discovery-creative-learning.json</x:v>
      </x:c>
      <x:c r="I1014" s="18" t="str">
        <x:v>10181858-1949-0368-0000-9053a93ddd50</x:v>
      </x:c>
      <x:c r="J1014" s="18" t="str">
        <x:v>No</x:v>
      </x:c>
    </x:row>
    <x:row r="1015" ht="34" customHeight="1">
      <x:c r="A1015" s="18" t="str">
        <x:v>local-music-generator</x:v>
      </x:c>
      <x:c r="B1015" s="18" t="str">
        <x:v>music generator</x:v>
      </x:c>
      <x:c r="C1015" s="19" t="n">
        <x:v>22200</x:v>
      </x:c>
      <x:c r="D1015" s="18" t="str">
        <x:v>No</x:v>
      </x:c>
      <x:c r="E1015" s="18" t="str">
        <x:v>2025-10 / 2026-09</x:v>
      </x:c>
      <x:c r="F1015" s="18" t="str">
        <x:v>Global · sin filtro de idioma</x:v>
      </x:c>
      <x:c r="G1015" s="18" t="str">
        <x:v>search_volume</x:v>
      </x:c>
      <x:c r="H1015" s="18" t="str">
        <x:v>global-extras.json</x:v>
      </x:c>
      <x:c r="I1015" s="18" t="str">
        <x:v>10181911-1949-0367-0000-7212b74720dd</x:v>
      </x:c>
      <x:c r="J1015" s="18" t="str">
        <x:v>No</x:v>
      </x:c>
    </x:row>
    <x:row r="1016" ht="34" customHeight="1">
      <x:c r="A1016" s="18" t="str">
        <x:v>local-voice-generator</x:v>
      </x:c>
      <x:c r="B1016" s="18" t="str">
        <x:v>ai voice generator</x:v>
      </x:c>
      <x:c r="C1016" s="19" t="n">
        <x:v>368000</x:v>
      </x:c>
      <x:c r="D1016" s="18" t="str">
        <x:v>Sí</x:v>
      </x:c>
      <x:c r="E1016" s="18" t="str">
        <x:v>2025-10 / 2026-09</x:v>
      </x:c>
      <x:c r="F1016" s="18" t="str">
        <x:v>Global · sin filtro de idioma</x:v>
      </x:c>
      <x:c r="G1016" s="18" t="str">
        <x:v>search_volume</x:v>
      </x:c>
      <x:c r="H1016" s="18" t="str">
        <x:v>global-extras.json</x:v>
      </x:c>
      <x:c r="I1016" s="18" t="str">
        <x:v>10181911-1949-0367-0000-7212b74720dd</x:v>
      </x:c>
      <x:c r="J1016" s="18" t="str">
        <x:v>No</x:v>
      </x:c>
    </x:row>
    <x:row r="1017" ht="34" customHeight="1">
      <x:c r="A1017" s="18" t="str">
        <x:v>local-voice-generator</x:v>
      </x:c>
      <x:c r="B1017" s="18" t="str">
        <x:v>voice generator</x:v>
      </x:c>
      <x:c r="C1017" s="19" t="n">
        <x:v>60500</x:v>
      </x:c>
      <x:c r="D1017" s="18" t="str">
        <x:v>No</x:v>
      </x:c>
      <x:c r="E1017" s="18" t="str">
        <x:v>2025-10 / 2026-09</x:v>
      </x:c>
      <x:c r="F1017" s="18" t="str">
        <x:v>Global · sin filtro de idioma</x:v>
      </x:c>
      <x:c r="G1017" s="18" t="str">
        <x:v>search_volume</x:v>
      </x:c>
      <x:c r="H1017" s="18" t="str">
        <x:v>global-extras.json</x:v>
      </x:c>
      <x:c r="I1017" s="18" t="str">
        <x:v>10181911-1949-0367-0000-7212b74720dd</x:v>
      </x:c>
      <x:c r="J1017" s="18" t="str">
        <x:v>No</x:v>
      </x:c>
    </x:row>
    <x:row r="1018" ht="34" customHeight="1">
      <x:c r="A1018" s="18" t="str">
        <x:v>local-voice-generator</x:v>
      </x:c>
      <x:c r="B1018" s="18" t="str">
        <x:v>generador voz ia</x:v>
      </x:c>
      <x:c r="C1018" s="19" t="n">
        <x:v>720</x:v>
      </x:c>
      <x:c r="D1018" s="18" t="str">
        <x:v>No</x:v>
      </x:c>
      <x:c r="E1018" s="18" t="str">
        <x:v>2025-10 / 2026-09</x:v>
      </x:c>
      <x:c r="F1018" s="18" t="str">
        <x:v>Global · sin filtro de idioma</x:v>
      </x:c>
      <x:c r="G1018" s="18" t="str">
        <x:v>search_volume</x:v>
      </x:c>
      <x:c r="H1018" s="18" t="str">
        <x:v>global-extras.json</x:v>
      </x:c>
      <x:c r="I1018" s="18" t="str">
        <x:v>10181911-1949-0367-0000-7212b74720dd</x:v>
      </x:c>
      <x:c r="J1018" s="18" t="str">
        <x:v>No</x:v>
      </x:c>
    </x:row>
    <x:row r="1019" ht="34" customHeight="1">
      <x:c r="A1019" s="18" t="str">
        <x:v>local-video-generator</x:v>
      </x:c>
      <x:c r="B1019" s="18" t="str">
        <x:v>ai video generator</x:v>
      </x:c>
      <x:c r="C1019" s="19" t="n">
        <x:v>1500000</x:v>
      </x:c>
      <x:c r="D1019" s="18" t="str">
        <x:v>Sí</x:v>
      </x:c>
      <x:c r="E1019" s="18" t="str">
        <x:v>2025-10 / 2026-09</x:v>
      </x:c>
      <x:c r="F1019" s="18" t="str">
        <x:v>Global · sin filtro de idioma</x:v>
      </x:c>
      <x:c r="G1019" s="18" t="str">
        <x:v>search_volume</x:v>
      </x:c>
      <x:c r="H1019" s="18" t="str">
        <x:v>global-extras.json</x:v>
      </x:c>
      <x:c r="I1019" s="18" t="str">
        <x:v>10181911-1949-0367-0000-7212b74720dd</x:v>
      </x:c>
      <x:c r="J1019" s="18" t="str">
        <x:v>No</x:v>
      </x:c>
    </x:row>
    <x:row r="1020" ht="34" customHeight="1">
      <x:c r="A1020" s="18" t="str">
        <x:v>local-video-generator</x:v>
      </x:c>
      <x:c r="B1020" s="18" t="str">
        <x:v>text to video</x:v>
      </x:c>
      <x:c r="C1020" s="19" t="n">
        <x:v>90500</x:v>
      </x:c>
      <x:c r="D1020" s="18" t="str">
        <x:v>No</x:v>
      </x:c>
      <x:c r="E1020" s="18" t="str">
        <x:v>2025-10 / 2026-09</x:v>
      </x:c>
      <x:c r="F1020" s="18" t="str">
        <x:v>Global · sin filtro de idioma</x:v>
      </x:c>
      <x:c r="G1020" s="18" t="str">
        <x:v>search_volume</x:v>
      </x:c>
      <x:c r="H1020" s="18" t="str">
        <x:v>global-extras.json</x:v>
      </x:c>
      <x:c r="I1020" s="18" t="str">
        <x:v>10181911-1949-0367-0000-7212b74720dd</x:v>
      </x:c>
      <x:c r="J1020" s="18" t="str">
        <x:v>No</x:v>
      </x:c>
    </x:row>
    <x:row r="1021" ht="34" customHeight="1">
      <x:c r="A1021" s="18" t="str">
        <x:v>local-video-generator</x:v>
      </x:c>
      <x:c r="B1021" s="18" t="str">
        <x:v>generador videos ia</x:v>
      </x:c>
      <x:c r="C1021" s="19" t="n">
        <x:v>2900</x:v>
      </x:c>
      <x:c r="D1021" s="18" t="str">
        <x:v>No</x:v>
      </x:c>
      <x:c r="E1021" s="18" t="str">
        <x:v>2025-10 / 2026-09</x:v>
      </x:c>
      <x:c r="F1021" s="18" t="str">
        <x:v>Global · sin filtro de idioma</x:v>
      </x:c>
      <x:c r="G1021" s="18" t="str">
        <x:v>search_volume</x:v>
      </x:c>
      <x:c r="H1021" s="18" t="str">
        <x:v>global-extras.json</x:v>
      </x:c>
      <x:c r="I1021" s="18" t="str">
        <x:v>10181911-1949-0367-0000-7212b74720dd</x:v>
      </x:c>
      <x:c r="J1021" s="18" t="str">
        <x:v>No</x:v>
      </x:c>
    </x:row>
    <x:row r="1022" ht="34" customHeight="1">
      <x:c r="A1022" s="18" t="str">
        <x:v>chat-with-documents</x:v>
      </x:c>
      <x:c r="B1022" s="18" t="str">
        <x:v>chat with pdf</x:v>
      </x:c>
      <x:c r="C1022" s="19" t="n">
        <x:v>6600</x:v>
      </x:c>
      <x:c r="D1022" s="18" t="str">
        <x:v>No</x:v>
      </x:c>
      <x:c r="E1022" s="18" t="str">
        <x:v>2025-10 / 2026-09</x:v>
      </x:c>
      <x:c r="F1022" s="18" t="str">
        <x:v>Global · sin filtro de idioma</x:v>
      </x:c>
      <x:c r="G1022" s="18" t="str">
        <x:v>search_volume</x:v>
      </x:c>
      <x:c r="H1022" s="18" t="str">
        <x:v>global-extras.json</x:v>
      </x:c>
      <x:c r="I1022" s="18" t="str">
        <x:v>10181911-1949-0367-0000-7212b74720dd</x:v>
      </x:c>
      <x:c r="J1022" s="18" t="str">
        <x:v>No</x:v>
      </x:c>
    </x:row>
    <x:row r="1023" ht="34" customHeight="1">
      <x:c r="A1023" s="18" t="str">
        <x:v>chat-with-documents</x:v>
      </x:c>
      <x:c r="B1023" s="18" t="str">
        <x:v>ask pdf</x:v>
      </x:c>
      <x:c r="C1023" s="19" t="n">
        <x:v>2400</x:v>
      </x:c>
      <x:c r="D1023" s="18" t="str">
        <x:v>No</x:v>
      </x:c>
      <x:c r="E1023" s="18" t="str">
        <x:v>2025-10 / 2026-09</x:v>
      </x:c>
      <x:c r="F1023" s="18" t="str">
        <x:v>Global · sin filtro de idioma</x:v>
      </x:c>
      <x:c r="G1023" s="18" t="str">
        <x:v>search_volume</x:v>
      </x:c>
      <x:c r="H1023" s="18" t="str">
        <x:v>global-extras.json</x:v>
      </x:c>
      <x:c r="I1023" s="18" t="str">
        <x:v>10181911-1949-0367-0000-7212b74720dd</x:v>
      </x:c>
      <x:c r="J1023" s="18" t="str">
        <x:v>No</x:v>
      </x:c>
    </x:row>
    <x:row r="1024" ht="34" customHeight="1">
      <x:c r="A1024" s="18" t="str">
        <x:v>chat-with-documents</x:v>
      </x:c>
      <x:c r="B1024" s="18" t="str">
        <x:v>pdf ai</x:v>
      </x:c>
      <x:c r="C1024" s="19" t="n">
        <x:v>27100</x:v>
      </x:c>
      <x:c r="D1024" s="18" t="str">
        <x:v>Sí</x:v>
      </x:c>
      <x:c r="E1024" s="18" t="str">
        <x:v>2025-10 / 2026-09</x:v>
      </x:c>
      <x:c r="F1024" s="18" t="str">
        <x:v>Global · sin filtro de idioma</x:v>
      </x:c>
      <x:c r="G1024" s="18" t="str">
        <x:v>search_volume</x:v>
      </x:c>
      <x:c r="H1024" s="18" t="str">
        <x:v>global-extras.json</x:v>
      </x:c>
      <x:c r="I1024" s="18" t="str">
        <x:v>10181911-1949-0367-0000-7212b74720dd</x:v>
      </x:c>
      <x:c r="J1024" s="18" t="str">
        <x:v>No</x:v>
      </x:c>
    </x:row>
    <x:row r="1025" ht="34" customHeight="1">
      <x:c r="A1025" s="18" t="str">
        <x:v>image-search-open</x:v>
      </x:c>
      <x:c r="B1025" s="18" t="str">
        <x:v>free images</x:v>
      </x:c>
      <x:c r="C1025" s="19" t="n">
        <x:v>165000</x:v>
      </x:c>
      <x:c r="D1025" s="18" t="str">
        <x:v>Sí</x:v>
      </x:c>
      <x:c r="E1025" s="18" t="str">
        <x:v>2025-10 / 2026-09</x:v>
      </x:c>
      <x:c r="F1025" s="18" t="str">
        <x:v>Global · sin filtro de idioma</x:v>
      </x:c>
      <x:c r="G1025" s="18" t="str">
        <x:v>search_volume</x:v>
      </x:c>
      <x:c r="H1025" s="18" t="str">
        <x:v>global-final-screen.json</x:v>
      </x:c>
      <x:c r="I1025" s="18" t="str">
        <x:v>10181918-1949-0367-0000-858bd36e8091</x:v>
      </x:c>
      <x:c r="J1025" s="18" t="str">
        <x:v>No</x:v>
      </x:c>
    </x:row>
    <x:row r="1026" ht="34" customHeight="1">
      <x:c r="A1026" s="18" t="str">
        <x:v>image-search-open</x:v>
      </x:c>
      <x:c r="B1026" s="18" t="str">
        <x:v>free stock photos</x:v>
      </x:c>
      <x:c r="C1026" s="19" t="n">
        <x:v>60500</x:v>
      </x:c>
      <x:c r="D1026" s="18" t="str">
        <x:v>No</x:v>
      </x:c>
      <x:c r="E1026" s="18" t="str">
        <x:v>2025-10 / 2026-09</x:v>
      </x:c>
      <x:c r="F1026" s="18" t="str">
        <x:v>Global · sin filtro de idioma</x:v>
      </x:c>
      <x:c r="G1026" s="18" t="str">
        <x:v>search_volume</x:v>
      </x:c>
      <x:c r="H1026" s="18" t="str">
        <x:v>global-refinement.json</x:v>
      </x:c>
      <x:c r="I1026" s="18" t="str">
        <x:v>10181917-1949-0367-0000-6ceea1dc515c</x:v>
      </x:c>
      <x:c r="J1026" s="18" t="str">
        <x:v>No</x:v>
      </x:c>
    </x:row>
    <x:row r="1027" ht="34" customHeight="1">
      <x:c r="A1027" s="18" t="str">
        <x:v>image-search-open</x:v>
      </x:c>
      <x:c r="B1027" s="18" t="str">
        <x:v>royalty free images</x:v>
      </x:c>
      <x:c r="C1027" s="19" t="n">
        <x:v>90500</x:v>
      </x:c>
      <x:c r="D1027" s="18" t="str">
        <x:v>No</x:v>
      </x:c>
      <x:c r="E1027" s="18" t="str">
        <x:v>2025-10 / 2026-09</x:v>
      </x:c>
      <x:c r="F1027" s="18" t="str">
        <x:v>Global · sin filtro de idioma</x:v>
      </x:c>
      <x:c r="G1027" s="18" t="str">
        <x:v>search_volume</x:v>
      </x:c>
      <x:c r="H1027" s="18" t="str">
        <x:v>global-refinement.json</x:v>
      </x:c>
      <x:c r="I1027" s="18" t="str">
        <x:v>10181917-1949-0367-0000-6ceea1dc515c</x:v>
      </x:c>
      <x:c r="J1027" s="18" t="str">
        <x:v>No</x:v>
      </x:c>
    </x:row>
    <x:row r="1028" ht="34" customHeight="1">
      <x:c r="A1028" s="18" t="str">
        <x:v>open-radio-player</x:v>
      </x:c>
      <x:c r="B1028" s="18" t="str">
        <x:v>online radio</x:v>
      </x:c>
      <x:c r="C1028" s="19" t="n">
        <x:v>823000</x:v>
      </x:c>
      <x:c r="D1028" s="18" t="str">
        <x:v>Sí</x:v>
      </x:c>
      <x:c r="E1028" s="18" t="str">
        <x:v>2025-10 / 2026-09</x:v>
      </x:c>
      <x:c r="F1028" s="18" t="str">
        <x:v>Global · sin filtro de idioma</x:v>
      </x:c>
      <x:c r="G1028" s="18" t="str">
        <x:v>search_volume</x:v>
      </x:c>
      <x:c r="H1028" s="18" t="str">
        <x:v>global-extras.json</x:v>
      </x:c>
      <x:c r="I1028" s="18" t="str">
        <x:v>10181911-1949-0367-0000-7212b74720dd</x:v>
      </x:c>
      <x:c r="J1028" s="18" t="str">
        <x:v>No</x:v>
      </x:c>
    </x:row>
    <x:row r="1029" ht="34" customHeight="1">
      <x:c r="A1029" s="18" t="str">
        <x:v>open-radio-player</x:v>
      </x:c>
      <x:c r="B1029" s="18" t="str">
        <x:v>radio online</x:v>
      </x:c>
      <x:c r="C1029" s="19" t="n">
        <x:v>823000</x:v>
      </x:c>
      <x:c r="D1029" s="18" t="str">
        <x:v>No</x:v>
      </x:c>
      <x:c r="E1029" s="18" t="str">
        <x:v>2025-10 / 2026-09</x:v>
      </x:c>
      <x:c r="F1029" s="18" t="str">
        <x:v>Global · sin filtro de idioma</x:v>
      </x:c>
      <x:c r="G1029" s="18" t="str">
        <x:v>search_volume</x:v>
      </x:c>
      <x:c r="H1029" s="18" t="str">
        <x:v>global-extras.json</x:v>
      </x:c>
      <x:c r="I1029" s="18" t="str">
        <x:v>10181911-1949-0367-0000-7212b74720dd</x:v>
      </x:c>
      <x:c r="J1029" s="18" t="str">
        <x:v>No</x:v>
      </x:c>
    </x:row>
    <x:row r="1030" ht="34" customHeight="1">
      <x:c r="A1030" s="18" t="str">
        <x:v>open-radio-player</x:v>
      </x:c>
      <x:c r="B1030" s="18" t="str">
        <x:v>listen to radio</x:v>
      </x:c>
      <x:c r="C1030" s="19" t="n">
        <x:v>8100</x:v>
      </x:c>
      <x:c r="D1030" s="18" t="str">
        <x:v>No</x:v>
      </x:c>
      <x:c r="E1030" s="18" t="str">
        <x:v>2025-10 / 2026-09</x:v>
      </x:c>
      <x:c r="F1030" s="18" t="str">
        <x:v>Global · sin filtro de idioma</x:v>
      </x:c>
      <x:c r="G1030" s="18" t="str">
        <x:v>search_volume</x:v>
      </x:c>
      <x:c r="H1030" s="18" t="str">
        <x:v>global-extras.json</x:v>
      </x:c>
      <x:c r="I1030" s="18" t="str">
        <x:v>10181911-1949-0367-0000-7212b74720dd</x:v>
      </x:c>
      <x:c r="J1030" s="18" t="str">
        <x:v>No</x:v>
      </x:c>
    </x:row>
    <x:row r="1031" ht="34" customHeight="1">
      <x:c r="A1031" s="18" t="str">
        <x:v>earthquake-map</x:v>
      </x:c>
      <x:c r="B1031" s="18" t="str">
        <x:v>earthquake map</x:v>
      </x:c>
      <x:c r="C1031" s="19" t="n">
        <x:v>60500</x:v>
      </x:c>
      <x:c r="D1031" s="18" t="str">
        <x:v>No</x:v>
      </x:c>
      <x:c r="E1031" s="18" t="str">
        <x:v>2025-10 / 2026-09</x:v>
      </x:c>
      <x:c r="F1031" s="18" t="str">
        <x:v>Global · sin filtro de idioma</x:v>
      </x:c>
      <x:c r="G1031" s="18" t="str">
        <x:v>search_volume</x:v>
      </x:c>
      <x:c r="H1031" s="18" t="str">
        <x:v>global-extras.json</x:v>
      </x:c>
      <x:c r="I1031" s="18" t="str">
        <x:v>10181911-1949-0367-0000-7212b74720dd</x:v>
      </x:c>
      <x:c r="J1031" s="18" t="str">
        <x:v>No</x:v>
      </x:c>
    </x:row>
    <x:row r="1032" ht="34" customHeight="1">
      <x:c r="A1032" s="18" t="str">
        <x:v>earthquake-map</x:v>
      </x:c>
      <x:c r="B1032" s="18" t="str">
        <x:v>earthquake tracker</x:v>
      </x:c>
      <x:c r="C1032" s="19" t="n">
        <x:v>33100</x:v>
      </x:c>
      <x:c r="D1032" s="18" t="str">
        <x:v>No</x:v>
      </x:c>
      <x:c r="E1032" s="18" t="str">
        <x:v>2025-10 / 2026-09</x:v>
      </x:c>
      <x:c r="F1032" s="18" t="str">
        <x:v>Global · sin filtro de idioma</x:v>
      </x:c>
      <x:c r="G1032" s="18" t="str">
        <x:v>search_volume</x:v>
      </x:c>
      <x:c r="H1032" s="18" t="str">
        <x:v>global-extras.json</x:v>
      </x:c>
      <x:c r="I1032" s="18" t="str">
        <x:v>10181911-1949-0367-0000-7212b74720dd</x:v>
      </x:c>
      <x:c r="J1032" s="18" t="str">
        <x:v>No</x:v>
      </x:c>
    </x:row>
    <x:row r="1033" ht="34" customHeight="1">
      <x:c r="A1033" s="18" t="str">
        <x:v>earthquake-map</x:v>
      </x:c>
      <x:c r="B1033" s="18" t="str">
        <x:v>terremotos hoy</x:v>
      </x:c>
      <x:c r="C1033" s="19" t="n">
        <x:v>201000</x:v>
      </x:c>
      <x:c r="D1033" s="18" t="str">
        <x:v>Sí</x:v>
      </x:c>
      <x:c r="E1033" s="18" t="str">
        <x:v>2025-10 / 2026-09</x:v>
      </x:c>
      <x:c r="F1033" s="18" t="str">
        <x:v>Global · sin filtro de idioma</x:v>
      </x:c>
      <x:c r="G1033" s="18" t="str">
        <x:v>search_volume</x:v>
      </x:c>
      <x:c r="H1033" s="18" t="str">
        <x:v>global-extras.json</x:v>
      </x:c>
      <x:c r="I1033" s="18" t="str">
        <x:v>10181911-1949-0367-0000-7212b74720dd</x:v>
      </x:c>
      <x:c r="J1033" s="18" t="str">
        <x:v>No</x:v>
      </x:c>
    </x:row>
    <x:row r="1034" ht="34" customHeight="1">
      <x:c r="A1034" s="18" t="str">
        <x:v>air-quality-dashboard</x:v>
      </x:c>
      <x:c r="B1034" s="18" t="str">
        <x:v>air quality index</x:v>
      </x:c>
      <x:c r="C1034" s="19" t="n">
        <x:v>368000</x:v>
      </x:c>
      <x:c r="D1034" s="18" t="str">
        <x:v>No</x:v>
      </x:c>
      <x:c r="E1034" s="18" t="str">
        <x:v>2025-10 / 2026-09</x:v>
      </x:c>
      <x:c r="F1034" s="18" t="str">
        <x:v>Global · sin filtro de idioma</x:v>
      </x:c>
      <x:c r="G1034" s="18" t="str">
        <x:v>search_volume</x:v>
      </x:c>
      <x:c r="H1034" s="18" t="str">
        <x:v>global-extras.json</x:v>
      </x:c>
      <x:c r="I1034" s="18" t="str">
        <x:v>10181911-1949-0367-0000-7212b74720dd</x:v>
      </x:c>
      <x:c r="J1034" s="18" t="str">
        <x:v>No</x:v>
      </x:c>
    </x:row>
    <x:row r="1035" ht="34" customHeight="1">
      <x:c r="A1035" s="18" t="str">
        <x:v>air-quality-dashboard</x:v>
      </x:c>
      <x:c r="B1035" s="18" t="str">
        <x:v>aqi</x:v>
      </x:c>
      <x:c r="C1035" s="19" t="n">
        <x:v>1000000</x:v>
      </x:c>
      <x:c r="D1035" s="18" t="str">
        <x:v>Sí</x:v>
      </x:c>
      <x:c r="E1035" s="18" t="str">
        <x:v>2025-10 / 2026-09</x:v>
      </x:c>
      <x:c r="F1035" s="18" t="str">
        <x:v>Global · sin filtro de idioma</x:v>
      </x:c>
      <x:c r="G1035" s="18" t="str">
        <x:v>search_volume</x:v>
      </x:c>
      <x:c r="H1035" s="18" t="str">
        <x:v>global-extras.json</x:v>
      </x:c>
      <x:c r="I1035" s="18" t="str">
        <x:v>10181911-1949-0367-0000-7212b74720dd</x:v>
      </x:c>
      <x:c r="J1035" s="18" t="str">
        <x:v>No</x:v>
      </x:c>
    </x:row>
    <x:row r="1036" ht="34" customHeight="1">
      <x:c r="A1036" s="18" t="str">
        <x:v>air-quality-dashboard</x:v>
      </x:c>
      <x:c r="B1036" s="18" t="str">
        <x:v>air quality near me</x:v>
      </x:c>
      <x:c r="C1036" s="19" t="n">
        <x:v>60500</x:v>
      </x:c>
      <x:c r="D1036" s="18" t="str">
        <x:v>No</x:v>
      </x:c>
      <x:c r="E1036" s="18" t="str">
        <x:v>2025-10 / 2026-09</x:v>
      </x:c>
      <x:c r="F1036" s="18" t="str">
        <x:v>Global · sin filtro de idioma</x:v>
      </x:c>
      <x:c r="G1036" s="18" t="str">
        <x:v>search_volume</x:v>
      </x:c>
      <x:c r="H1036" s="18" t="str">
        <x:v>global-extras.json</x:v>
      </x:c>
      <x:c r="I1036" s="18" t="str">
        <x:v>10181911-1949-0367-0000-7212b74720dd</x:v>
      </x:c>
      <x:c r="J1036" s="18" t="str">
        <x:v>No</x:v>
      </x:c>
    </x:row>
    <x:row r="1037" ht="34" customHeight="1">
      <x:c r="A1037" s="18" t="str">
        <x:v>air-quality-dashboard</x:v>
      </x:c>
      <x:c r="B1037" s="18" t="str">
        <x:v>air quality checker</x:v>
      </x:c>
      <x:c r="C1037" s="19" t="n">
        <x:v>14800</x:v>
      </x:c>
      <x:c r="D1037" s="18" t="str">
        <x:v>No</x:v>
      </x:c>
      <x:c r="E1037" s="18" t="str">
        <x:v>2025-10 / 2026-09</x:v>
      </x:c>
      <x:c r="F1037" s="18" t="str">
        <x:v>Global · sin filtro de idioma</x:v>
      </x:c>
      <x:c r="G1037" s="18" t="str">
        <x:v>search_volume</x:v>
      </x:c>
      <x:c r="H1037" s="18" t="str">
        <x:v>global-refinement.json</x:v>
      </x:c>
      <x:c r="I1037" s="18" t="str">
        <x:v>10181917-1949-0367-0000-6ceea1dc515c</x:v>
      </x:c>
      <x:c r="J1037" s="18" t="str">
        <x:v>No</x:v>
      </x:c>
    </x:row>
    <x:row r="1038" ht="34" customHeight="1">
      <x:c r="A1038" s="18" t="str">
        <x:v>tide-times</x:v>
      </x:c>
      <x:c r="B1038" s="18" t="str">
        <x:v>tide times</x:v>
      </x:c>
      <x:c r="C1038" s="19" t="n">
        <x:v>110000</x:v>
      </x:c>
      <x:c r="D1038" s="18" t="str">
        <x:v>Sí</x:v>
      </x:c>
      <x:c r="E1038" s="18" t="str">
        <x:v>2025-10 / 2026-09</x:v>
      </x:c>
      <x:c r="F1038" s="18" t="str">
        <x:v>Global · sin filtro de idioma</x:v>
      </x:c>
      <x:c r="G1038" s="18" t="str">
        <x:v>search_volume</x:v>
      </x:c>
      <x:c r="H1038" s="18" t="str">
        <x:v>global-extras.json</x:v>
      </x:c>
      <x:c r="I1038" s="18" t="str">
        <x:v>10181911-1949-0367-0000-7212b74720dd</x:v>
      </x:c>
      <x:c r="J1038" s="18" t="str">
        <x:v>No</x:v>
      </x:c>
    </x:row>
    <x:row r="1039" ht="34" customHeight="1">
      <x:c r="A1039" s="18" t="str">
        <x:v>tide-times</x:v>
      </x:c>
      <x:c r="B1039" s="18" t="str">
        <x:v>tide chart</x:v>
      </x:c>
      <x:c r="C1039" s="19" t="n">
        <x:v>74000</x:v>
      </x:c>
      <x:c r="D1039" s="18" t="str">
        <x:v>No</x:v>
      </x:c>
      <x:c r="E1039" s="18" t="str">
        <x:v>2025-10 / 2026-09</x:v>
      </x:c>
      <x:c r="F1039" s="18" t="str">
        <x:v>Global · sin filtro de idioma</x:v>
      </x:c>
      <x:c r="G1039" s="18" t="str">
        <x:v>search_volume</x:v>
      </x:c>
      <x:c r="H1039" s="18" t="str">
        <x:v>global-extras.json</x:v>
      </x:c>
      <x:c r="I1039" s="18" t="str">
        <x:v>10181911-1949-0367-0000-7212b74720dd</x:v>
      </x:c>
      <x:c r="J1039" s="18" t="str">
        <x:v>No</x:v>
      </x:c>
    </x:row>
    <x:row r="1040" ht="34" customHeight="1">
      <x:c r="A1040" s="18" t="str">
        <x:v>tide-times</x:v>
      </x:c>
      <x:c r="B1040" s="18" t="str">
        <x:v>tabla mareas</x:v>
      </x:c>
      <x:c r="C1040" s="19" t="n">
        <x:v>8100</x:v>
      </x:c>
      <x:c r="D1040" s="18" t="str">
        <x:v>No</x:v>
      </x:c>
      <x:c r="E1040" s="18" t="str">
        <x:v>2025-10 / 2026-09</x:v>
      </x:c>
      <x:c r="F1040" s="18" t="str">
        <x:v>Global · sin filtro de idioma</x:v>
      </x:c>
      <x:c r="G1040" s="18" t="str">
        <x:v>search_volume</x:v>
      </x:c>
      <x:c r="H1040" s="18" t="str">
        <x:v>global-extras.json</x:v>
      </x:c>
      <x:c r="I1040" s="18" t="str">
        <x:v>10181911-1949-0367-0000-7212b74720dd</x:v>
      </x:c>
      <x:c r="J1040" s="18" t="str">
        <x:v>No</x:v>
      </x:c>
    </x:row>
    <x:row r="1041" ht="34" customHeight="1">
      <x:c r="A1041" s="18" t="str">
        <x:v>online-compass</x:v>
      </x:c>
      <x:c r="B1041" s="18" t="str">
        <x:v>compass online</x:v>
      </x:c>
      <x:c r="C1041" s="19" t="n">
        <x:v>301000</x:v>
      </x:c>
      <x:c r="D1041" s="18" t="str">
        <x:v>Sí</x:v>
      </x:c>
      <x:c r="E1041" s="18" t="str">
        <x:v>2025-10 / 2026-09</x:v>
      </x:c>
      <x:c r="F1041" s="18" t="str">
        <x:v>Global · sin filtro de idioma</x:v>
      </x:c>
      <x:c r="G1041" s="18" t="str">
        <x:v>search_volume</x:v>
      </x:c>
      <x:c r="H1041" s="18" t="str">
        <x:v>global-extras.json</x:v>
      </x:c>
      <x:c r="I1041" s="18" t="str">
        <x:v>10181911-1949-0367-0000-7212b74720dd</x:v>
      </x:c>
      <x:c r="J1041" s="18" t="str">
        <x:v>No</x:v>
      </x:c>
    </x:row>
    <x:row r="1042" ht="34" customHeight="1">
      <x:c r="A1042" s="18" t="str">
        <x:v>online-compass</x:v>
      </x:c>
      <x:c r="B1042" s="18" t="str">
        <x:v>online compass</x:v>
      </x:c>
      <x:c r="C1042" s="19" t="n">
        <x:v>301000</x:v>
      </x:c>
      <x:c r="D1042" s="18" t="str">
        <x:v>No</x:v>
      </x:c>
      <x:c r="E1042" s="18" t="str">
        <x:v>2025-10 / 2026-09</x:v>
      </x:c>
      <x:c r="F1042" s="18" t="str">
        <x:v>Global · sin filtro de idioma</x:v>
      </x:c>
      <x:c r="G1042" s="18" t="str">
        <x:v>search_volume</x:v>
      </x:c>
      <x:c r="H1042" s="18" t="str">
        <x:v>global-extras.json</x:v>
      </x:c>
      <x:c r="I1042" s="18" t="str">
        <x:v>10181911-1949-0367-0000-7212b74720dd</x:v>
      </x:c>
      <x:c r="J1042" s="18" t="str">
        <x:v>No</x:v>
      </x:c>
    </x:row>
    <x:row r="1043" ht="34" customHeight="1">
      <x:c r="A1043" s="18" t="str">
        <x:v>online-compass</x:v>
      </x:c>
      <x:c r="B1043" s="18" t="str">
        <x:v>brujula online</x:v>
      </x:c>
      <x:c r="C1043" s="19" t="n">
        <x:v>60500</x:v>
      </x:c>
      <x:c r="D1043" s="18" t="str">
        <x:v>No</x:v>
      </x:c>
      <x:c r="E1043" s="18" t="str">
        <x:v>2025-10 / 2026-09</x:v>
      </x:c>
      <x:c r="F1043" s="18" t="str">
        <x:v>Global · sin filtro de idioma</x:v>
      </x:c>
      <x:c r="G1043" s="18" t="str">
        <x:v>search_volume</x:v>
      </x:c>
      <x:c r="H1043" s="18" t="str">
        <x:v>global-extras.json</x:v>
      </x:c>
      <x:c r="I1043" s="18" t="str">
        <x:v>10181911-1949-0367-0000-7212b74720dd</x:v>
      </x:c>
      <x:c r="J1043" s="18" t="str">
        <x:v>No</x:v>
      </x:c>
    </x:row>
    <x:row r="1044" ht="34" customHeight="1">
      <x:c r="A1044" s="18" t="str">
        <x:v>online-compass</x:v>
      </x:c>
      <x:c r="B1044" s="18" t="str">
        <x:v>compass online</x:v>
      </x:c>
      <x:c r="C1044" s="19" t="n">
        <x:v>301000</x:v>
      </x:c>
      <x:c r="D1044" s="18" t="str">
        <x:v>Sí</x:v>
      </x:c>
      <x:c r="E1044" s="18" t="str">
        <x:v>2025-10 / 2026-09</x:v>
      </x:c>
      <x:c r="F1044" s="18" t="str">
        <x:v>Global · sin filtro de idioma</x:v>
      </x:c>
      <x:c r="G1044" s="18" t="str">
        <x:v>search_volume</x:v>
      </x:c>
      <x:c r="H1044" s="18" t="str">
        <x:v>global-extras.json</x:v>
      </x:c>
      <x:c r="I1044" s="18" t="str">
        <x:v>10181911-1949-0367-0000-7212b74720dd</x:v>
      </x:c>
      <x:c r="J1044" s="18" t="str">
        <x:v>No</x:v>
      </x:c>
    </x:row>
    <x:row r="1045" ht="34" customHeight="1">
      <x:c r="A1045" s="18" t="str">
        <x:v>bubble-level</x:v>
      </x:c>
      <x:c r="B1045" s="18" t="str">
        <x:v>bubble level</x:v>
      </x:c>
      <x:c r="C1045" s="19" t="n">
        <x:v>49500</x:v>
      </x:c>
      <x:c r="D1045" s="18" t="str">
        <x:v>Sí</x:v>
      </x:c>
      <x:c r="E1045" s="18" t="str">
        <x:v>2025-10 / 2026-09</x:v>
      </x:c>
      <x:c r="F1045" s="18" t="str">
        <x:v>Global · sin filtro de idioma</x:v>
      </x:c>
      <x:c r="G1045" s="18" t="str">
        <x:v>search_volume</x:v>
      </x:c>
      <x:c r="H1045" s="18" t="str">
        <x:v>global-extras.json</x:v>
      </x:c>
      <x:c r="I1045" s="18" t="str">
        <x:v>10181911-1949-0367-0000-7212b74720dd</x:v>
      </x:c>
      <x:c r="J1045" s="18" t="str">
        <x:v>No</x:v>
      </x:c>
    </x:row>
    <x:row r="1046" ht="34" customHeight="1">
      <x:c r="A1046" s="18" t="str">
        <x:v>bubble-level</x:v>
      </x:c>
      <x:c r="B1046" s="18" t="str">
        <x:v>level tool</x:v>
      </x:c>
      <x:c r="C1046" s="19" t="n">
        <x:v>33100</x:v>
      </x:c>
      <x:c r="D1046" s="18" t="str">
        <x:v>No</x:v>
      </x:c>
      <x:c r="E1046" s="18" t="str">
        <x:v>2025-10 / 2026-09</x:v>
      </x:c>
      <x:c r="F1046" s="18" t="str">
        <x:v>Global · sin filtro de idioma</x:v>
      </x:c>
      <x:c r="G1046" s="18" t="str">
        <x:v>search_volume</x:v>
      </x:c>
      <x:c r="H1046" s="18" t="str">
        <x:v>global-extras.json</x:v>
      </x:c>
      <x:c r="I1046" s="18" t="str">
        <x:v>10181911-1949-0367-0000-7212b74720dd</x:v>
      </x:c>
      <x:c r="J1046" s="18" t="str">
        <x:v>No</x:v>
      </x:c>
    </x:row>
    <x:row r="1047" ht="34" customHeight="1">
      <x:c r="A1047" s="18" t="str">
        <x:v>bubble-level</x:v>
      </x:c>
      <x:c r="B1047" s="18" t="str">
        <x:v>nivel de burbuja online</x:v>
      </x:c>
      <x:c r="C1047" s="19" t="n">
        <x:v>1000</x:v>
      </x:c>
      <x:c r="D1047" s="18" t="str">
        <x:v>No</x:v>
      </x:c>
      <x:c r="E1047" s="18" t="str">
        <x:v>2025-10 / 2026-09</x:v>
      </x:c>
      <x:c r="F1047" s="18" t="str">
        <x:v>Global · sin filtro de idioma</x:v>
      </x:c>
      <x:c r="G1047" s="18" t="str">
        <x:v>search_volume</x:v>
      </x:c>
      <x:c r="H1047" s="18" t="str">
        <x:v>global-extras.json</x:v>
      </x:c>
      <x:c r="I1047" s="18" t="str">
        <x:v>10181911-1949-0367-0000-7212b74720dd</x:v>
      </x:c>
      <x:c r="J1047" s="18" t="str">
        <x:v>No</x:v>
      </x:c>
    </x:row>
    <x:row r="1048" ht="34" customHeight="1">
      <x:c r="A1048" s="18" t="str">
        <x:v>birth-chart</x:v>
      </x:c>
      <x:c r="B1048" s="18" t="str">
        <x:v>birth chart</x:v>
      </x:c>
      <x:c r="C1048" s="19" t="n">
        <x:v>673000</x:v>
      </x:c>
      <x:c r="D1048" s="18" t="str">
        <x:v>Sí</x:v>
      </x:c>
      <x:c r="E1048" s="18" t="str">
        <x:v>2025-10 / 2026-09</x:v>
      </x:c>
      <x:c r="F1048" s="18" t="str">
        <x:v>Global · sin filtro de idioma</x:v>
      </x:c>
      <x:c r="G1048" s="18" t="str">
        <x:v>search_volume</x:v>
      </x:c>
      <x:c r="H1048" s="18" t="str">
        <x:v>global-extras.json</x:v>
      </x:c>
      <x:c r="I1048" s="18" t="str">
        <x:v>10181911-1949-0367-0000-7212b74720dd</x:v>
      </x:c>
      <x:c r="J1048" s="18" t="str">
        <x:v>No</x:v>
      </x:c>
    </x:row>
    <x:row r="1049" ht="34" customHeight="1">
      <x:c r="A1049" s="18" t="str">
        <x:v>birth-chart</x:v>
      </x:c>
      <x:c r="B1049" s="18" t="str">
        <x:v>natal chart</x:v>
      </x:c>
      <x:c r="C1049" s="19" t="n">
        <x:v>246000</x:v>
      </x:c>
      <x:c r="D1049" s="18" t="str">
        <x:v>No</x:v>
      </x:c>
      <x:c r="E1049" s="18" t="str">
        <x:v>2025-10 / 2026-09</x:v>
      </x:c>
      <x:c r="F1049" s="18" t="str">
        <x:v>Global · sin filtro de idioma</x:v>
      </x:c>
      <x:c r="G1049" s="18" t="str">
        <x:v>search_volume</x:v>
      </x:c>
      <x:c r="H1049" s="18" t="str">
        <x:v>global-extras.json</x:v>
      </x:c>
      <x:c r="I1049" s="18" t="str">
        <x:v>10181911-1949-0367-0000-7212b74720dd</x:v>
      </x:c>
      <x:c r="J1049" s="18" t="str">
        <x:v>No</x:v>
      </x:c>
    </x:row>
    <x:row r="1050" ht="34" customHeight="1">
      <x:c r="A1050" s="18" t="str">
        <x:v>birth-chart</x:v>
      </x:c>
      <x:c r="B1050" s="18" t="str">
        <x:v>carta astral</x:v>
      </x:c>
      <x:c r="C1050" s="19" t="n">
        <x:v>550000</x:v>
      </x:c>
      <x:c r="D1050" s="18" t="str">
        <x:v>No</x:v>
      </x:c>
      <x:c r="E1050" s="18" t="str">
        <x:v>2025-10 / 2026-09</x:v>
      </x:c>
      <x:c r="F1050" s="18" t="str">
        <x:v>Global · sin filtro de idioma</x:v>
      </x:c>
      <x:c r="G1050" s="18" t="str">
        <x:v>search_volume</x:v>
      </x:c>
      <x:c r="H1050" s="18" t="str">
        <x:v>global-extras.json</x:v>
      </x:c>
      <x:c r="I1050" s="18" t="str">
        <x:v>10181911-1949-0367-0000-7212b74720dd</x:v>
      </x:c>
      <x:c r="J1050" s="18" t="str">
        <x:v>No</x:v>
      </x:c>
    </x:row>
    <x:row r="1051" ht="34" customHeight="1">
      <x:c r="A1051" s="18" t="str">
        <x:v>tarot-card-reading</x:v>
      </x:c>
      <x:c r="B1051" s="18" t="str">
        <x:v>tarot reading</x:v>
      </x:c>
      <x:c r="C1051" s="19" t="str">
        <x:v>n.a.</x:v>
      </x:c>
      <x:c r="D1051" s="18" t="str">
        <x:v>Sí</x:v>
      </x:c>
      <x:c r="E1051" s="18" t="str">
        <x:v>n.a.</x:v>
      </x:c>
      <x:c r="F1051" s="18" t="str">
        <x:v>Global · sin filtro de idioma</x:v>
      </x:c>
      <x:c r="G1051" s="18" t="str">
        <x:v>search_volume</x:v>
      </x:c>
      <x:c r="H1051" s="18" t="str">
        <x:v>global-initial-screen.json</x:v>
      </x:c>
      <x:c r="I1051" s="18" t="str">
        <x:v>10181645-1949-0367-0000-721aab5cac1a</x:v>
      </x:c>
      <x:c r="J1051" s="18" t="str">
        <x:v>No</x:v>
      </x:c>
    </x:row>
    <x:row r="1052" ht="34" customHeight="1">
      <x:c r="A1052" s="18" t="str">
        <x:v>tarot-card-reading</x:v>
      </x:c>
      <x:c r="B1052" s="18" t="str">
        <x:v>tarot online</x:v>
      </x:c>
      <x:c r="C1052" s="19" t="str">
        <x:v>n.a.</x:v>
      </x:c>
      <x:c r="D1052" s="18" t="str">
        <x:v>No</x:v>
      </x:c>
      <x:c r="E1052" s="18" t="str">
        <x:v>n.a.</x:v>
      </x:c>
      <x:c r="F1052" s="18" t="str">
        <x:v>Global · sin filtro de idioma</x:v>
      </x:c>
      <x:c r="G1052" s="18" t="str">
        <x:v>search_volume</x:v>
      </x:c>
      <x:c r="H1052" s="18" t="str">
        <x:v>global-extras.json</x:v>
      </x:c>
      <x:c r="I1052" s="18" t="str">
        <x:v>10181911-1949-0367-0000-7212b74720dd</x:v>
      </x:c>
      <x:c r="J1052" s="18" t="str">
        <x:v>No</x:v>
      </x:c>
    </x:row>
    <x:row r="1053" ht="34" customHeight="1">
      <x:c r="A1053" s="18" t="str">
        <x:v>tarot-card-reading</x:v>
      </x:c>
      <x:c r="B1053" s="18" t="str">
        <x:v>tarot gratis</x:v>
      </x:c>
      <x:c r="C1053" s="19" t="str">
        <x:v>n.a.</x:v>
      </x:c>
      <x:c r="D1053" s="18" t="str">
        <x:v>No</x:v>
      </x:c>
      <x:c r="E1053" s="18" t="str">
        <x:v>n.a.</x:v>
      </x:c>
      <x:c r="F1053" s="18" t="str">
        <x:v>Global · sin filtro de idioma</x:v>
      </x:c>
      <x:c r="G1053" s="18" t="str">
        <x:v>search_volume</x:v>
      </x:c>
      <x:c r="H1053" s="18" t="str">
        <x:v>global-extras.json</x:v>
      </x:c>
      <x:c r="I1053" s="18" t="str">
        <x:v>10181911-1949-0367-0000-7212b74720dd</x:v>
      </x:c>
      <x:c r="J1053" s="18" t="str">
        <x:v>No</x:v>
      </x:c>
    </x:row>
    <x:row r="1054" ht="34" customHeight="1">
      <x:c r="A1054" s="18" t="str">
        <x:v>numerology-calculator</x:v>
      </x:c>
      <x:c r="B1054" s="18" t="str">
        <x:v>numerology calculator</x:v>
      </x:c>
      <x:c r="C1054" s="19" t="n">
        <x:v>165000</x:v>
      </x:c>
      <x:c r="D1054" s="18" t="str">
        <x:v>No</x:v>
      </x:c>
      <x:c r="E1054" s="18" t="str">
        <x:v>2025-10 / 2026-09</x:v>
      </x:c>
      <x:c r="F1054" s="18" t="str">
        <x:v>Global · sin filtro de idioma</x:v>
      </x:c>
      <x:c r="G1054" s="18" t="str">
        <x:v>search_volume</x:v>
      </x:c>
      <x:c r="H1054" s="18" t="str">
        <x:v>global-extras.json</x:v>
      </x:c>
      <x:c r="I1054" s="18" t="str">
        <x:v>10181911-1949-0367-0000-7212b74720dd</x:v>
      </x:c>
      <x:c r="J1054" s="18" t="str">
        <x:v>No</x:v>
      </x:c>
    </x:row>
    <x:row r="1055" ht="34" customHeight="1">
      <x:c r="A1055" s="18" t="str">
        <x:v>numerology-calculator</x:v>
      </x:c>
      <x:c r="B1055" s="18" t="str">
        <x:v>numerology</x:v>
      </x:c>
      <x:c r="C1055" s="19" t="n">
        <x:v>368000</x:v>
      </x:c>
      <x:c r="D1055" s="18" t="str">
        <x:v>Sí</x:v>
      </x:c>
      <x:c r="E1055" s="18" t="str">
        <x:v>2025-10 / 2026-09</x:v>
      </x:c>
      <x:c r="F1055" s="18" t="str">
        <x:v>Global · sin filtro de idioma</x:v>
      </x:c>
      <x:c r="G1055" s="18" t="str">
        <x:v>search_volume</x:v>
      </x:c>
      <x:c r="H1055" s="18" t="str">
        <x:v>global-extras.json</x:v>
      </x:c>
      <x:c r="I1055" s="18" t="str">
        <x:v>10181911-1949-0367-0000-7212b74720dd</x:v>
      </x:c>
      <x:c r="J1055" s="18" t="str">
        <x:v>No</x:v>
      </x:c>
    </x:row>
    <x:row r="1056" ht="34" customHeight="1">
      <x:c r="A1056" s="18" t="str">
        <x:v>numerology-calculator</x:v>
      </x:c>
      <x:c r="B1056" s="18" t="str">
        <x:v>numerologia</x:v>
      </x:c>
      <x:c r="C1056" s="19" t="n">
        <x:v>90500</x:v>
      </x:c>
      <x:c r="D1056" s="18" t="str">
        <x:v>No</x:v>
      </x:c>
      <x:c r="E1056" s="18" t="str">
        <x:v>2025-10 / 2026-09</x:v>
      </x:c>
      <x:c r="F1056" s="18" t="str">
        <x:v>Global · sin filtro de idioma</x:v>
      </x:c>
      <x:c r="G1056" s="18" t="str">
        <x:v>search_volume</x:v>
      </x:c>
      <x:c r="H1056" s="18" t="str">
        <x:v>global-extras.json</x:v>
      </x:c>
      <x:c r="I1056" s="18" t="str">
        <x:v>10181911-1949-0367-0000-7212b74720dd</x:v>
      </x:c>
      <x:c r="J1056" s="18" t="str">
        <x:v>No</x:v>
      </x:c>
    </x:row>
    <x:row r="1057" ht="34" customHeight="1">
      <x:c r="A1057" s="18" t="str">
        <x:v>chinese-zodiac</x:v>
      </x:c>
      <x:c r="B1057" s="18" t="str">
        <x:v>chinese zodiac</x:v>
      </x:c>
      <x:c r="C1057" s="19" t="n">
        <x:v>450000</x:v>
      </x:c>
      <x:c r="D1057" s="18" t="str">
        <x:v>Sí</x:v>
      </x:c>
      <x:c r="E1057" s="18" t="str">
        <x:v>2025-10 / 2026-09</x:v>
      </x:c>
      <x:c r="F1057" s="18" t="str">
        <x:v>Global · sin filtro de idioma</x:v>
      </x:c>
      <x:c r="G1057" s="18" t="str">
        <x:v>search_volume</x:v>
      </x:c>
      <x:c r="H1057" s="18" t="str">
        <x:v>global-extras.json</x:v>
      </x:c>
      <x:c r="I1057" s="18" t="str">
        <x:v>10181911-1949-0367-0000-7212b74720dd</x:v>
      </x:c>
      <x:c r="J1057" s="18" t="str">
        <x:v>No</x:v>
      </x:c>
    </x:row>
    <x:row r="1058" ht="34" customHeight="1">
      <x:c r="A1058" s="18" t="str">
        <x:v>chinese-zodiac</x:v>
      </x:c>
      <x:c r="B1058" s="18" t="str">
        <x:v>生肖</x:v>
      </x:c>
      <x:c r="C1058" s="19" t="n">
        <x:v>246000</x:v>
      </x:c>
      <x:c r="D1058" s="18" t="str">
        <x:v>No</x:v>
      </x:c>
      <x:c r="E1058" s="18" t="str">
        <x:v>2025-10 / 2026-09</x:v>
      </x:c>
      <x:c r="F1058" s="18" t="str">
        <x:v>Global · sin filtro de idioma</x:v>
      </x:c>
      <x:c r="G1058" s="18" t="str">
        <x:v>keywords_for_keywords</x:v>
      </x:c>
      <x:c r="H1058" s="18" t="str">
        <x:v>discovery-multilingual-asia.json</x:v>
      </x:c>
      <x:c r="I1058" s="18" t="str">
        <x:v>10181858-1949-0368-0000-0204bec9b205</x:v>
      </x:c>
      <x:c r="J1058" s="18" t="str">
        <x:v>No</x:v>
      </x:c>
    </x:row>
    <x:row r="1059" ht="34" customHeight="1">
      <x:c r="A1059" s="18" t="str">
        <x:v>chinese-zodiac</x:v>
      </x:c>
      <x:c r="B1059" s="18" t="str">
        <x:v>chinese zodiac calculator</x:v>
      </x:c>
      <x:c r="C1059" s="19" t="n">
        <x:v>40500</x:v>
      </x:c>
      <x:c r="D1059" s="18" t="str">
        <x:v>No</x:v>
      </x:c>
      <x:c r="E1059" s="18" t="str">
        <x:v>2025-10 / 2026-09</x:v>
      </x:c>
      <x:c r="F1059" s="18" t="str">
        <x:v>Global · sin filtro de idioma</x:v>
      </x:c>
      <x:c r="G1059" s="18" t="str">
        <x:v>search_volume</x:v>
      </x:c>
      <x:c r="H1059" s="18" t="str">
        <x:v>global-extras.json</x:v>
      </x:c>
      <x:c r="I1059" s="18" t="str">
        <x:v>10181911-1949-0367-0000-7212b74720dd</x:v>
      </x:c>
      <x:c r="J1059" s="18" t="str">
        <x:v>No</x:v>
      </x:c>
    </x:row>
    <x:row r="1060" ht="34" customHeight="1">
      <x:c r="A1060" s="18" t="str">
        <x:v>iching-cast</x:v>
      </x:c>
      <x:c r="B1060" s="18" t="str">
        <x:v>i ching</x:v>
      </x:c>
      <x:c r="C1060" s="19" t="n">
        <x:v>165000</x:v>
      </x:c>
      <x:c r="D1060" s="18" t="str">
        <x:v>Sí</x:v>
      </x:c>
      <x:c r="E1060" s="18" t="str">
        <x:v>2025-10 / 2026-09</x:v>
      </x:c>
      <x:c r="F1060" s="18" t="str">
        <x:v>Global · sin filtro de idioma</x:v>
      </x:c>
      <x:c r="G1060" s="18" t="str">
        <x:v>search_volume</x:v>
      </x:c>
      <x:c r="H1060" s="18" t="str">
        <x:v>global-extras.json</x:v>
      </x:c>
      <x:c r="I1060" s="18" t="str">
        <x:v>10181911-1949-0367-0000-7212b74720dd</x:v>
      </x:c>
      <x:c r="J1060" s="18" t="str">
        <x:v>No</x:v>
      </x:c>
    </x:row>
    <x:row r="1061" ht="34" customHeight="1">
      <x:c r="A1061" s="18" t="str">
        <x:v>iching-cast</x:v>
      </x:c>
      <x:c r="B1061" s="18" t="str">
        <x:v>iching</x:v>
      </x:c>
      <x:c r="C1061" s="19" t="n">
        <x:v>165000</x:v>
      </x:c>
      <x:c r="D1061" s="18" t="str">
        <x:v>No</x:v>
      </x:c>
      <x:c r="E1061" s="18" t="str">
        <x:v>2025-10 / 2026-09</x:v>
      </x:c>
      <x:c r="F1061" s="18" t="str">
        <x:v>Global · sin filtro de idioma</x:v>
      </x:c>
      <x:c r="G1061" s="18" t="str">
        <x:v>search_volume</x:v>
      </x:c>
      <x:c r="H1061" s="18" t="str">
        <x:v>global-extras.json</x:v>
      </x:c>
      <x:c r="I1061" s="18" t="str">
        <x:v>10181911-1949-0367-0000-7212b74720dd</x:v>
      </x:c>
      <x:c r="J1061" s="18" t="str">
        <x:v>No</x:v>
      </x:c>
    </x:row>
    <x:row r="1062" ht="34" customHeight="1">
      <x:c r="A1062" s="18" t="str">
        <x:v>iching-cast</x:v>
      </x:c>
      <x:c r="B1062" s="18" t="str">
        <x:v>易经</x:v>
      </x:c>
      <x:c r="C1062" s="19" t="n">
        <x:v>33100</x:v>
      </x:c>
      <x:c r="D1062" s="18" t="str">
        <x:v>No</x:v>
      </x:c>
      <x:c r="E1062" s="18" t="str">
        <x:v>2025-10 / 2026-09</x:v>
      </x:c>
      <x:c r="F1062" s="18" t="str">
        <x:v>Global · sin filtro de idioma</x:v>
      </x:c>
      <x:c r="G1062" s="18" t="str">
        <x:v>search_volume</x:v>
      </x:c>
      <x:c r="H1062" s="18" t="str">
        <x:v>global-extras.json</x:v>
      </x:c>
      <x:c r="I1062" s="18" t="str">
        <x:v>10181911-1949-0367-0000-7212b74720dd</x:v>
      </x:c>
      <x:c r="J1062" s="18" t="str">
        <x:v>No</x:v>
      </x:c>
    </x:row>
    <x:row r="1063" ht="34" customHeight="1">
      <x:c r="A1063" s="18" t="str">
        <x:v>japanese-name-strokes</x:v>
      </x:c>
      <x:c r="B1063" s="18" t="str">
        <x:v>姓名判断</x:v>
      </x:c>
      <x:c r="C1063" s="19" t="n">
        <x:v>450000</x:v>
      </x:c>
      <x:c r="D1063" s="18" t="str">
        <x:v>Sí</x:v>
      </x:c>
      <x:c r="E1063" s="18" t="str">
        <x:v>2025-10 / 2026-09</x:v>
      </x:c>
      <x:c r="F1063" s="18" t="str">
        <x:v>Global · sin filtro de idioma</x:v>
      </x:c>
      <x:c r="G1063" s="18" t="str">
        <x:v>keywords_for_keywords</x:v>
      </x:c>
      <x:c r="H1063" s="18" t="str">
        <x:v>discovery-multilingual-asia.json</x:v>
      </x:c>
      <x:c r="I1063" s="18" t="str">
        <x:v>10181858-1949-0368-0000-0204bec9b205</x:v>
      </x:c>
      <x:c r="J1063" s="18" t="str">
        <x:v>No</x:v>
      </x:c>
    </x:row>
    <x:row r="1064" ht="34" customHeight="1">
      <x:c r="A1064" s="18" t="str">
        <x:v>japanese-name-strokes</x:v>
      </x:c>
      <x:c r="B1064" s="18" t="str">
        <x:v>姓名 判断</x:v>
      </x:c>
      <x:c r="C1064" s="19" t="n">
        <x:v>450000</x:v>
      </x:c>
      <x:c r="D1064" s="18" t="str">
        <x:v>No</x:v>
      </x:c>
      <x:c r="E1064" s="18" t="str">
        <x:v>2025-10 / 2026-09</x:v>
      </x:c>
      <x:c r="F1064" s="18" t="str">
        <x:v>Global · sin filtro de idioma</x:v>
      </x:c>
      <x:c r="G1064" s="18" t="str">
        <x:v>keywords_for_keywords</x:v>
      </x:c>
      <x:c r="H1064" s="18" t="str">
        <x:v>discovery-multilingual-asia.json</x:v>
      </x:c>
      <x:c r="I1064" s="18" t="str">
        <x:v>10181858-1949-0368-0000-0204bec9b205</x:v>
      </x:c>
      <x:c r="J1064" s="18" t="str">
        <x:v>No</x:v>
      </x:c>
    </x:row>
    <x:row r="1065" ht="34" customHeight="1">
      <x:c r="A1065" s="18" t="str">
        <x:v>japanese-name-strokes</x:v>
      </x:c>
      <x:c r="B1065" s="18" t="str">
        <x:v>姓名判断 無料</x:v>
      </x:c>
      <x:c r="C1065" s="19" t="n">
        <x:v>135000</x:v>
      </x:c>
      <x:c r="D1065" s="18" t="str">
        <x:v>No</x:v>
      </x:c>
      <x:c r="E1065" s="18" t="str">
        <x:v>2025-10 / 2026-09</x:v>
      </x:c>
      <x:c r="F1065" s="18" t="str">
        <x:v>Global · sin filtro de idioma</x:v>
      </x:c>
      <x:c r="G1065" s="18" t="str">
        <x:v>search_volume</x:v>
      </x:c>
      <x:c r="H1065" s="18" t="str">
        <x:v>global-refinement.json</x:v>
      </x:c>
      <x:c r="I1065" s="18" t="str">
        <x:v>10181917-1949-0367-0000-6ceea1dc515c</x:v>
      </x:c>
      <x:c r="J1065" s="18" t="str">
        <x:v>No</x:v>
      </x:c>
    </x:row>
    <x:row r="1066" ht="34" customHeight="1">
      <x:c r="A1066" s="18" t="str">
        <x:v>personal-color-analysis</x:v>
      </x:c>
      <x:c r="B1066" s="18" t="str">
        <x:v>personal color analysis</x:v>
      </x:c>
      <x:c r="C1066" s="19" t="n">
        <x:v>14800</x:v>
      </x:c>
      <x:c r="D1066" s="18" t="str">
        <x:v>No</x:v>
      </x:c>
      <x:c r="E1066" s="18" t="str">
        <x:v>2025-10 / 2026-09</x:v>
      </x:c>
      <x:c r="F1066" s="18" t="str">
        <x:v>Global · sin filtro de idioma</x:v>
      </x:c>
      <x:c r="G1066" s="18" t="str">
        <x:v>search_volume</x:v>
      </x:c>
      <x:c r="H1066" s="18" t="str">
        <x:v>global-final-screen.json</x:v>
      </x:c>
      <x:c r="I1066" s="18" t="str">
        <x:v>10181918-1949-0367-0000-858bd36e8091</x:v>
      </x:c>
      <x:c r="J1066" s="18" t="str">
        <x:v>No</x:v>
      </x:c>
    </x:row>
    <x:row r="1067" ht="34" customHeight="1">
      <x:c r="A1067" s="18" t="str">
        <x:v>personal-color-analysis</x:v>
      </x:c>
      <x:c r="B1067" s="18" t="str">
        <x:v>color analysis</x:v>
      </x:c>
      <x:c r="C1067" s="19" t="n">
        <x:v>110000</x:v>
      </x:c>
      <x:c r="D1067" s="18" t="str">
        <x:v>No</x:v>
      </x:c>
      <x:c r="E1067" s="18" t="str">
        <x:v>2025-10 / 2026-09</x:v>
      </x:c>
      <x:c r="F1067" s="18" t="str">
        <x:v>Global · sin filtro de idioma</x:v>
      </x:c>
      <x:c r="G1067" s="18" t="str">
        <x:v>search_volume</x:v>
      </x:c>
      <x:c r="H1067" s="18" t="str">
        <x:v>global-extras.json</x:v>
      </x:c>
      <x:c r="I1067" s="18" t="str">
        <x:v>10181911-1949-0367-0000-7212b74720dd</x:v>
      </x:c>
      <x:c r="J1067" s="18" t="str">
        <x:v>No</x:v>
      </x:c>
    </x:row>
    <x:row r="1068" ht="34" customHeight="1">
      <x:c r="A1068" s="18" t="str">
        <x:v>personal-color-analysis</x:v>
      </x:c>
      <x:c r="B1068" s="18" t="str">
        <x:v>퍼스널컬러</x:v>
      </x:c>
      <x:c r="C1068" s="19" t="n">
        <x:v>14800</x:v>
      </x:c>
      <x:c r="D1068" s="18" t="str">
        <x:v>No</x:v>
      </x:c>
      <x:c r="E1068" s="18" t="str">
        <x:v>2025-10 / 2026-09</x:v>
      </x:c>
      <x:c r="F1068" s="18" t="str">
        <x:v>Global · sin filtro de idioma</x:v>
      </x:c>
      <x:c r="G1068" s="18" t="str">
        <x:v>keywords_for_keywords</x:v>
      </x:c>
      <x:c r="H1068" s="18" t="str">
        <x:v>discovery-multilingual-asia.json</x:v>
      </x:c>
      <x:c r="I1068" s="18" t="str">
        <x:v>10181858-1949-0368-0000-0204bec9b205</x:v>
      </x:c>
      <x:c r="J1068" s="18" t="str">
        <x:v>No</x:v>
      </x:c>
    </x:row>
    <x:row r="1069" ht="34" customHeight="1">
      <x:c r="A1069" s="18" t="str">
        <x:v>personal-color-analysis</x:v>
      </x:c>
      <x:c r="B1069" s="18" t="str">
        <x:v>パーソナルカラー診断</x:v>
      </x:c>
      <x:c r="C1069" s="19" t="n">
        <x:v>246000</x:v>
      </x:c>
      <x:c r="D1069" s="18" t="str">
        <x:v>Sí</x:v>
      </x:c>
      <x:c r="E1069" s="18" t="str">
        <x:v>2025-10 / 2026-09</x:v>
      </x:c>
      <x:c r="F1069" s="18" t="str">
        <x:v>Global · sin filtro de idioma</x:v>
      </x:c>
      <x:c r="G1069" s="18" t="str">
        <x:v>search_volume</x:v>
      </x:c>
      <x:c r="H1069" s="18" t="str">
        <x:v>global-refinement.json</x:v>
      </x:c>
      <x:c r="I1069" s="18" t="str">
        <x:v>10181917-1949-0367-0000-6ceea1dc515c</x:v>
      </x:c>
      <x:c r="J1069" s="18" t="str">
        <x:v>No</x:v>
      </x:c>
    </x:row>
    <x:row r="1070" ht="34" customHeight="1">
      <x:c r="A1070" s="18" t="str">
        <x:v>face-shape-analyzer</x:v>
      </x:c>
      <x:c r="B1070" s="18" t="str">
        <x:v>face shape detector</x:v>
      </x:c>
      <x:c r="C1070" s="19" t="n">
        <x:v>201000</x:v>
      </x:c>
      <x:c r="D1070" s="18" t="str">
        <x:v>Sí</x:v>
      </x:c>
      <x:c r="E1070" s="18" t="str">
        <x:v>2025-10 / 2026-09</x:v>
      </x:c>
      <x:c r="F1070" s="18" t="str">
        <x:v>Global · sin filtro de idioma</x:v>
      </x:c>
      <x:c r="G1070" s="18" t="str">
        <x:v>search_volume</x:v>
      </x:c>
      <x:c r="H1070" s="18" t="str">
        <x:v>global-extras.json</x:v>
      </x:c>
      <x:c r="I1070" s="18" t="str">
        <x:v>10181911-1949-0367-0000-7212b74720dd</x:v>
      </x:c>
      <x:c r="J1070" s="18" t="str">
        <x:v>No</x:v>
      </x:c>
    </x:row>
    <x:row r="1071" ht="34" customHeight="1">
      <x:c r="A1071" s="18" t="str">
        <x:v>face-shape-analyzer</x:v>
      </x:c>
      <x:c r="B1071" s="18" t="str">
        <x:v>forma rostro</x:v>
      </x:c>
      <x:c r="C1071" s="19" t="n">
        <x:v>880</x:v>
      </x:c>
      <x:c r="D1071" s="18" t="str">
        <x:v>No</x:v>
      </x:c>
      <x:c r="E1071" s="18" t="str">
        <x:v>2025-10 / 2026-09</x:v>
      </x:c>
      <x:c r="F1071" s="18" t="str">
        <x:v>Global · sin filtro de idioma</x:v>
      </x:c>
      <x:c r="G1071" s="18" t="str">
        <x:v>search_volume</x:v>
      </x:c>
      <x:c r="H1071" s="18" t="str">
        <x:v>global-extras.json</x:v>
      </x:c>
      <x:c r="I1071" s="18" t="str">
        <x:v>10181911-1949-0367-0000-7212b74720dd</x:v>
      </x:c>
      <x:c r="J1071" s="18" t="str">
        <x:v>No</x:v>
      </x:c>
    </x:row>
    <x:row r="1072" ht="34" customHeight="1">
      <x:c r="A1072" s="18" t="str">
        <x:v>virtual-try-on</x:v>
      </x:c>
      <x:c r="B1072" s="18" t="str">
        <x:v>virtual try on</x:v>
      </x:c>
      <x:c r="C1072" s="19" t="n">
        <x:v>12100</x:v>
      </x:c>
      <x:c r="D1072" s="18" t="str">
        <x:v>Sí</x:v>
      </x:c>
      <x:c r="E1072" s="18" t="str">
        <x:v>2025-10 / 2026-09</x:v>
      </x:c>
      <x:c r="F1072" s="18" t="str">
        <x:v>Global · sin filtro de idioma</x:v>
      </x:c>
      <x:c r="G1072" s="18" t="str">
        <x:v>search_volume</x:v>
      </x:c>
      <x:c r="H1072" s="18" t="str">
        <x:v>global-extras.json</x:v>
      </x:c>
      <x:c r="I1072" s="18" t="str">
        <x:v>10181911-1949-0367-0000-7212b74720dd</x:v>
      </x:c>
      <x:c r="J1072" s="18" t="str">
        <x:v>No</x:v>
      </x:c>
    </x:row>
    <x:row r="1073" ht="34" customHeight="1">
      <x:c r="A1073" s="18" t="str">
        <x:v>virtual-try-on</x:v>
      </x:c>
      <x:c r="B1073" s="18" t="str">
        <x:v>virtual fitting room</x:v>
      </x:c>
      <x:c r="C1073" s="19" t="n">
        <x:v>1900</x:v>
      </x:c>
      <x:c r="D1073" s="18" t="str">
        <x:v>No</x:v>
      </x:c>
      <x:c r="E1073" s="18" t="str">
        <x:v>2025-10 / 2026-09</x:v>
      </x:c>
      <x:c r="F1073" s="18" t="str">
        <x:v>Global · sin filtro de idioma</x:v>
      </x:c>
      <x:c r="G1073" s="18" t="str">
        <x:v>search_volume</x:v>
      </x:c>
      <x:c r="H1073" s="18" t="str">
        <x:v>global-extras.json</x:v>
      </x:c>
      <x:c r="I1073" s="18" t="str">
        <x:v>10181911-1949-0367-0000-7212b74720dd</x:v>
      </x:c>
      <x:c r="J1073" s="18" t="str">
        <x:v>No</x:v>
      </x:c>
    </x:row>
    <x:row r="1074" ht="34" customHeight="1">
      <x:c r="A1074" s="18" t="str">
        <x:v>virtual-try-on</x:v>
      </x:c>
      <x:c r="B1074" s="18" t="str">
        <x:v>probar ropa virtual</x:v>
      </x:c>
      <x:c r="C1074" s="19" t="n">
        <x:v>20</x:v>
      </x:c>
      <x:c r="D1074" s="18" t="str">
        <x:v>No</x:v>
      </x:c>
      <x:c r="E1074" s="18" t="str">
        <x:v>2025-10 / 2026-09</x:v>
      </x:c>
      <x:c r="F1074" s="18" t="str">
        <x:v>Global · sin filtro de idioma</x:v>
      </x:c>
      <x:c r="G1074" s="18" t="str">
        <x:v>search_volume</x:v>
      </x:c>
      <x:c r="H1074" s="18" t="str">
        <x:v>global-extras.json</x:v>
      </x:c>
      <x:c r="I1074" s="18" t="str">
        <x:v>10181911-1949-0367-0000-7212b74720dd</x:v>
      </x:c>
      <x:c r="J1074" s="18" t="str">
        <x:v>No</x:v>
      </x:c>
    </x:row>
    <x:row r="1075" ht="34" customHeight="1">
      <x:c r="A1075" s="18" t="str">
        <x:v>tattoo-preview</x:v>
      </x:c>
      <x:c r="B1075" s="18" t="str">
        <x:v>tattoo simulator</x:v>
      </x:c>
      <x:c r="C1075" s="19" t="n">
        <x:v>2400</x:v>
      </x:c>
      <x:c r="D1075" s="18" t="str">
        <x:v>No</x:v>
      </x:c>
      <x:c r="E1075" s="18" t="str">
        <x:v>2025-10 / 2026-09</x:v>
      </x:c>
      <x:c r="F1075" s="18" t="str">
        <x:v>Global · sin filtro de idioma</x:v>
      </x:c>
      <x:c r="G1075" s="18" t="str">
        <x:v>search_volume</x:v>
      </x:c>
      <x:c r="H1075" s="18" t="str">
        <x:v>global-extras.json</x:v>
      </x:c>
      <x:c r="I1075" s="18" t="str">
        <x:v>10181911-1949-0367-0000-7212b74720dd</x:v>
      </x:c>
      <x:c r="J1075" s="18" t="str">
        <x:v>No</x:v>
      </x:c>
    </x:row>
    <x:row r="1076" ht="34" customHeight="1">
      <x:c r="A1076" s="18" t="str">
        <x:v>tattoo-preview</x:v>
      </x:c>
      <x:c r="B1076" s="18" t="str">
        <x:v>tattoo design app</x:v>
      </x:c>
      <x:c r="C1076" s="19" t="n">
        <x:v>8100</x:v>
      </x:c>
      <x:c r="D1076" s="18" t="str">
        <x:v>Sí</x:v>
      </x:c>
      <x:c r="E1076" s="18" t="str">
        <x:v>2025-10 / 2026-09</x:v>
      </x:c>
      <x:c r="F1076" s="18" t="str">
        <x:v>Global · sin filtro de idioma</x:v>
      </x:c>
      <x:c r="G1076" s="18" t="str">
        <x:v>search_volume</x:v>
      </x:c>
      <x:c r="H1076" s="18" t="str">
        <x:v>global-extras.json</x:v>
      </x:c>
      <x:c r="I1076" s="18" t="str">
        <x:v>10181911-1949-0367-0000-7212b74720dd</x:v>
      </x:c>
      <x:c r="J1076" s="18" t="str">
        <x:v>No</x:v>
      </x:c>
    </x:row>
    <x:row r="1077" ht="34" customHeight="1">
      <x:c r="A1077" s="18" t="str">
        <x:v>tattoo-preview</x:v>
      </x:c>
      <x:c r="B1077" s="18" t="str">
        <x:v>tattoo preview</x:v>
      </x:c>
      <x:c r="C1077" s="19" t="n">
        <x:v>320</x:v>
      </x:c>
      <x:c r="D1077" s="18" t="str">
        <x:v>No</x:v>
      </x:c>
      <x:c r="E1077" s="18" t="str">
        <x:v>2025-10 / 2026-09</x:v>
      </x:c>
      <x:c r="F1077" s="18" t="str">
        <x:v>Global · sin filtro de idioma</x:v>
      </x:c>
      <x:c r="G1077" s="18" t="str">
        <x:v>search_volume</x:v>
      </x:c>
      <x:c r="H1077" s="18" t="str">
        <x:v>global-extras.json</x:v>
      </x:c>
      <x:c r="I1077" s="18" t="str">
        <x:v>10181911-1949-0367-0000-7212b74720dd</x:v>
      </x:c>
      <x:c r="J1077" s="18" t="str">
        <x:v>No</x:v>
      </x:c>
    </x:row>
    <x:row r="1078" ht="34" customHeight="1">
      <x:c r="A1078" s="18" t="str">
        <x:v>sticker-pack-maker</x:v>
      </x:c>
      <x:c r="B1078" s="18" t="str">
        <x:v>sticker maker</x:v>
      </x:c>
      <x:c r="C1078" s="19" t="n">
        <x:v>135000</x:v>
      </x:c>
      <x:c r="D1078" s="18" t="str">
        <x:v>Sí</x:v>
      </x:c>
      <x:c r="E1078" s="18" t="str">
        <x:v>2025-10 / 2026-09</x:v>
      </x:c>
      <x:c r="F1078" s="18" t="str">
        <x:v>Global · sin filtro de idioma</x:v>
      </x:c>
      <x:c r="G1078" s="18" t="str">
        <x:v>search_volume</x:v>
      </x:c>
      <x:c r="H1078" s="18" t="str">
        <x:v>global-extras.json</x:v>
      </x:c>
      <x:c r="I1078" s="18" t="str">
        <x:v>10181911-1949-0367-0000-7212b74720dd</x:v>
      </x:c>
      <x:c r="J1078" s="18" t="str">
        <x:v>No</x:v>
      </x:c>
    </x:row>
    <x:row r="1079" ht="34" customHeight="1">
      <x:c r="A1079" s="18" t="str">
        <x:v>sticker-pack-maker</x:v>
      </x:c>
      <x:c r="B1079" s="18" t="str">
        <x:v>sticker maker online</x:v>
      </x:c>
      <x:c r="C1079" s="19" t="n">
        <x:v>9900</x:v>
      </x:c>
      <x:c r="D1079" s="18" t="str">
        <x:v>No</x:v>
      </x:c>
      <x:c r="E1079" s="18" t="str">
        <x:v>2025-10 / 2026-09</x:v>
      </x:c>
      <x:c r="F1079" s="18" t="str">
        <x:v>Global · sin filtro de idioma</x:v>
      </x:c>
      <x:c r="G1079" s="18" t="str">
        <x:v>search_volume</x:v>
      </x:c>
      <x:c r="H1079" s="18" t="str">
        <x:v>global-extras.json</x:v>
      </x:c>
      <x:c r="I1079" s="18" t="str">
        <x:v>10181911-1949-0367-0000-7212b74720dd</x:v>
      </x:c>
      <x:c r="J1079" s="18" t="str">
        <x:v>No</x:v>
      </x:c>
    </x:row>
    <x:row r="1080" ht="34" customHeight="1">
      <x:c r="A1080" s="18" t="str">
        <x:v>sticker-pack-maker</x:v>
      </x:c>
      <x:c r="B1080" s="18" t="str">
        <x:v>crear stickers</x:v>
      </x:c>
      <x:c r="C1080" s="19" t="n">
        <x:v>8100</x:v>
      </x:c>
      <x:c r="D1080" s="18" t="str">
        <x:v>No</x:v>
      </x:c>
      <x:c r="E1080" s="18" t="str">
        <x:v>2025-10 / 2026-09</x:v>
      </x:c>
      <x:c r="F1080" s="18" t="str">
        <x:v>Global · sin filtro de idioma</x:v>
      </x:c>
      <x:c r="G1080" s="18" t="str">
        <x:v>search_volume</x:v>
      </x:c>
      <x:c r="H1080" s="18" t="str">
        <x:v>global-extras.json</x:v>
      </x:c>
      <x:c r="I1080" s="18" t="str">
        <x:v>10181911-1949-0367-0000-7212b74720dd</x:v>
      </x:c>
      <x:c r="J1080" s="18" t="str">
        <x:v>No</x:v>
      </x:c>
    </x:row>
    <x:row r="1081" ht="34" customHeight="1">
      <x:c r="A1081" s="18" t="str">
        <x:v>word-cloud-generator</x:v>
      </x:c>
      <x:c r="B1081" s="18" t="str">
        <x:v>word cloud generator</x:v>
      </x:c>
      <x:c r="C1081" s="19" t="n">
        <x:v>49500</x:v>
      </x:c>
      <x:c r="D1081" s="18" t="str">
        <x:v>No</x:v>
      </x:c>
      <x:c r="E1081" s="18" t="str">
        <x:v>2025-10 / 2026-09</x:v>
      </x:c>
      <x:c r="F1081" s="18" t="str">
        <x:v>Global · sin filtro de idioma</x:v>
      </x:c>
      <x:c r="G1081" s="18" t="str">
        <x:v>search_volume</x:v>
      </x:c>
      <x:c r="H1081" s="18" t="str">
        <x:v>global-initial-screen.json</x:v>
      </x:c>
      <x:c r="I1081" s="18" t="str">
        <x:v>10181645-1949-0367-0000-721aab5cac1a</x:v>
      </x:c>
      <x:c r="J1081" s="18" t="str">
        <x:v>No</x:v>
      </x:c>
    </x:row>
    <x:row r="1082" ht="34" customHeight="1">
      <x:c r="A1082" s="18" t="str">
        <x:v>word-cloud-generator</x:v>
      </x:c>
      <x:c r="B1082" s="18" t="str">
        <x:v>word cloud</x:v>
      </x:c>
      <x:c r="C1082" s="19" t="n">
        <x:v>135000</x:v>
      </x:c>
      <x:c r="D1082" s="18" t="str">
        <x:v>Sí</x:v>
      </x:c>
      <x:c r="E1082" s="18" t="str">
        <x:v>2025-10 / 2026-09</x:v>
      </x:c>
      <x:c r="F1082" s="18" t="str">
        <x:v>Global · sin filtro de idioma</x:v>
      </x:c>
      <x:c r="G1082" s="18" t="str">
        <x:v>search_volume</x:v>
      </x:c>
      <x:c r="H1082" s="18" t="str">
        <x:v>global-extras.json</x:v>
      </x:c>
      <x:c r="I1082" s="18" t="str">
        <x:v>10181911-1949-0367-0000-7212b74720dd</x:v>
      </x:c>
      <x:c r="J1082" s="18" t="str">
        <x:v>No</x:v>
      </x:c>
    </x:row>
    <x:row r="1083" ht="34" customHeight="1">
      <x:c r="A1083" s="18" t="str">
        <x:v>word-cloud-generator</x:v>
      </x:c>
      <x:c r="B1083" s="18" t="str">
        <x:v>nube de palabras</x:v>
      </x:c>
      <x:c r="C1083" s="19" t="n">
        <x:v>22200</x:v>
      </x:c>
      <x:c r="D1083" s="18" t="str">
        <x:v>No</x:v>
      </x:c>
      <x:c r="E1083" s="18" t="str">
        <x:v>2025-10 / 2026-09</x:v>
      </x:c>
      <x:c r="F1083" s="18" t="str">
        <x:v>Global · sin filtro de idioma</x:v>
      </x:c>
      <x:c r="G1083" s="18" t="str">
        <x:v>search_volume</x:v>
      </x:c>
      <x:c r="H1083" s="18" t="str">
        <x:v>global-extras.json</x:v>
      </x:c>
      <x:c r="I1083" s="18" t="str">
        <x:v>10181911-1949-0367-0000-7212b74720dd</x:v>
      </x:c>
      <x:c r="J1083" s="18" t="str">
        <x:v>No</x:v>
      </x:c>
    </x:row>
    <x:row r="1084" ht="34" customHeight="1">
      <x:c r="A1084" s="18" t="str">
        <x:v>text-to-handwriting</x:v>
      </x:c>
      <x:c r="B1084" s="18" t="str">
        <x:v>text to handwriting</x:v>
      </x:c>
      <x:c r="C1084" s="19" t="n">
        <x:v>110000</x:v>
      </x:c>
      <x:c r="D1084" s="18" t="str">
        <x:v>Sí</x:v>
      </x:c>
      <x:c r="E1084" s="18" t="str">
        <x:v>2025-10 / 2026-09</x:v>
      </x:c>
      <x:c r="F1084" s="18" t="str">
        <x:v>Global · sin filtro de idioma</x:v>
      </x:c>
      <x:c r="G1084" s="18" t="str">
        <x:v>search_volume</x:v>
      </x:c>
      <x:c r="H1084" s="18" t="str">
        <x:v>global-initial-screen.json</x:v>
      </x:c>
      <x:c r="I1084" s="18" t="str">
        <x:v>10181645-1949-0367-0000-721aab5cac1a</x:v>
      </x:c>
      <x:c r="J1084" s="18" t="str">
        <x:v>No</x:v>
      </x:c>
    </x:row>
    <x:row r="1085" ht="34" customHeight="1">
      <x:c r="A1085" s="18" t="str">
        <x:v>text-to-handwriting</x:v>
      </x:c>
      <x:c r="B1085" s="18" t="str">
        <x:v>handwriting generator</x:v>
      </x:c>
      <x:c r="C1085" s="19" t="n">
        <x:v>6600</x:v>
      </x:c>
      <x:c r="D1085" s="18" t="str">
        <x:v>No</x:v>
      </x:c>
      <x:c r="E1085" s="18" t="str">
        <x:v>2025-10 / 2026-09</x:v>
      </x:c>
      <x:c r="F1085" s="18" t="str">
        <x:v>Global · sin filtro de idioma</x:v>
      </x:c>
      <x:c r="G1085" s="18" t="str">
        <x:v>search_volume</x:v>
      </x:c>
      <x:c r="H1085" s="18" t="str">
        <x:v>global-extras.json</x:v>
      </x:c>
      <x:c r="I1085" s="18" t="str">
        <x:v>10181911-1949-0367-0000-7212b74720dd</x:v>
      </x:c>
      <x:c r="J1085" s="18" t="str">
        <x:v>No</x:v>
      </x:c>
    </x:row>
    <x:row r="1086" ht="34" customHeight="1">
      <x:c r="A1086" s="18" t="str">
        <x:v>text-to-handwriting</x:v>
      </x:c>
      <x:c r="B1086" s="18" t="str">
        <x:v>texto a mano</x:v>
      </x:c>
      <x:c r="C1086" s="19" t="n">
        <x:v>110</x:v>
      </x:c>
      <x:c r="D1086" s="18" t="str">
        <x:v>No</x:v>
      </x:c>
      <x:c r="E1086" s="18" t="str">
        <x:v>2025-10 / 2026-09</x:v>
      </x:c>
      <x:c r="F1086" s="18" t="str">
        <x:v>Global · sin filtro de idioma</x:v>
      </x:c>
      <x:c r="G1086" s="18" t="str">
        <x:v>search_volume</x:v>
      </x:c>
      <x:c r="H1086" s="18" t="str">
        <x:v>global-extras.json</x:v>
      </x:c>
      <x:c r="I1086" s="18" t="str">
        <x:v>10181911-1949-0367-0000-7212b74720dd</x:v>
      </x:c>
      <x:c r="J1086" s="18" t="str">
        <x:v>No</x:v>
      </x:c>
    </x:row>
    <x:row r="1087" ht="34" customHeight="1">
      <x:c r="A1087" s="18" t="str">
        <x:v>signature-designer</x:v>
      </x:c>
      <x:c r="B1087" s="18" t="str">
        <x:v>signature generator</x:v>
      </x:c>
      <x:c r="C1087" s="19" t="n">
        <x:v>165000</x:v>
      </x:c>
      <x:c r="D1087" s="18" t="str">
        <x:v>Sí</x:v>
      </x:c>
      <x:c r="E1087" s="18" t="str">
        <x:v>2025-10 / 2026-09</x:v>
      </x:c>
      <x:c r="F1087" s="18" t="str">
        <x:v>Global · sin filtro de idioma</x:v>
      </x:c>
      <x:c r="G1087" s="18" t="str">
        <x:v>search_volume</x:v>
      </x:c>
      <x:c r="H1087" s="18" t="str">
        <x:v>global-initial-screen.json</x:v>
      </x:c>
      <x:c r="I1087" s="18" t="str">
        <x:v>10181645-1949-0367-0000-721aab5cac1a</x:v>
      </x:c>
      <x:c r="J1087" s="18" t="str">
        <x:v>No</x:v>
      </x:c>
    </x:row>
    <x:row r="1088" ht="34" customHeight="1">
      <x:c r="A1088" s="18" t="str">
        <x:v>signature-designer</x:v>
      </x:c>
      <x:c r="B1088" s="18" t="str">
        <x:v>signature maker</x:v>
      </x:c>
      <x:c r="C1088" s="19" t="n">
        <x:v>135000</x:v>
      </x:c>
      <x:c r="D1088" s="18" t="str">
        <x:v>No</x:v>
      </x:c>
      <x:c r="E1088" s="18" t="str">
        <x:v>2025-10 / 2026-09</x:v>
      </x:c>
      <x:c r="F1088" s="18" t="str">
        <x:v>Global · sin filtro de idioma</x:v>
      </x:c>
      <x:c r="G1088" s="18" t="str">
        <x:v>search_volume</x:v>
      </x:c>
      <x:c r="H1088" s="18" t="str">
        <x:v>global-extras.json</x:v>
      </x:c>
      <x:c r="I1088" s="18" t="str">
        <x:v>10181911-1949-0367-0000-7212b74720dd</x:v>
      </x:c>
      <x:c r="J1088" s="18" t="str">
        <x:v>No</x:v>
      </x:c>
    </x:row>
    <x:row r="1089" ht="34" customHeight="1">
      <x:c r="A1089" s="18" t="str">
        <x:v>signature-designer</x:v>
      </x:c>
      <x:c r="B1089" s="18" t="str">
        <x:v>crear firma</x:v>
      </x:c>
      <x:c r="C1089" s="19" t="n">
        <x:v>4400</x:v>
      </x:c>
      <x:c r="D1089" s="18" t="str">
        <x:v>No</x:v>
      </x:c>
      <x:c r="E1089" s="18" t="str">
        <x:v>2025-10 / 2026-09</x:v>
      </x:c>
      <x:c r="F1089" s="18" t="str">
        <x:v>Global · sin filtro de idioma</x:v>
      </x:c>
      <x:c r="G1089" s="18" t="str">
        <x:v>search_volume</x:v>
      </x:c>
      <x:c r="H1089" s="18" t="str">
        <x:v>global-extras.json</x:v>
      </x:c>
      <x:c r="I1089" s="18" t="str">
        <x:v>10181911-1949-0367-0000-7212b74720dd</x:v>
      </x:c>
      <x:c r="J1089" s="18" t="str">
        <x:v>No</x:v>
      </x:c>
    </x:row>
    <x:row r="1090" ht="34" customHeight="1">
      <x:c r="A1090" s="18" t="str">
        <x:v>love-calculator</x:v>
      </x:c>
      <x:c r="B1090" s="18" t="str">
        <x:v>love calculator</x:v>
      </x:c>
      <x:c r="C1090" s="19" t="n">
        <x:v>450000</x:v>
      </x:c>
      <x:c r="D1090" s="18" t="str">
        <x:v>Sí</x:v>
      </x:c>
      <x:c r="E1090" s="18" t="str">
        <x:v>2025-10 / 2026-09</x:v>
      </x:c>
      <x:c r="F1090" s="18" t="str">
        <x:v>Global · sin filtro de idioma</x:v>
      </x:c>
      <x:c r="G1090" s="18" t="str">
        <x:v>search_volume</x:v>
      </x:c>
      <x:c r="H1090" s="18" t="str">
        <x:v>global-initial-screen.json</x:v>
      </x:c>
      <x:c r="I1090" s="18" t="str">
        <x:v>10181645-1949-0367-0000-721aab5cac1a</x:v>
      </x:c>
      <x:c r="J1090" s="18" t="str">
        <x:v>No</x:v>
      </x:c>
    </x:row>
    <x:row r="1091" ht="34" customHeight="1">
      <x:c r="A1091" s="18" t="str">
        <x:v>love-calculator</x:v>
      </x:c>
      <x:c r="B1091" s="18" t="str">
        <x:v>love tester</x:v>
      </x:c>
      <x:c r="C1091" s="19" t="n">
        <x:v>450000</x:v>
      </x:c>
      <x:c r="D1091" s="18" t="str">
        <x:v>No</x:v>
      </x:c>
      <x:c r="E1091" s="18" t="str">
        <x:v>2025-10 / 2026-09</x:v>
      </x:c>
      <x:c r="F1091" s="18" t="str">
        <x:v>Global · sin filtro de idioma</x:v>
      </x:c>
      <x:c r="G1091" s="18" t="str">
        <x:v>search_volume</x:v>
      </x:c>
      <x:c r="H1091" s="18" t="str">
        <x:v>global-extras.json</x:v>
      </x:c>
      <x:c r="I1091" s="18" t="str">
        <x:v>10181911-1949-0367-0000-7212b74720dd</x:v>
      </x:c>
      <x:c r="J1091" s="18" t="str">
        <x:v>No</x:v>
      </x:c>
    </x:row>
    <x:row r="1092" ht="34" customHeight="1">
      <x:c r="A1092" s="18" t="str">
        <x:v>love-calculator</x:v>
      </x:c>
      <x:c r="B1092" s="18" t="str">
        <x:v>calculadora amor</x:v>
      </x:c>
      <x:c r="C1092" s="19" t="n">
        <x:v>18100</x:v>
      </x:c>
      <x:c r="D1092" s="18" t="str">
        <x:v>No</x:v>
      </x:c>
      <x:c r="E1092" s="18" t="str">
        <x:v>2025-10 / 2026-09</x:v>
      </x:c>
      <x:c r="F1092" s="18" t="str">
        <x:v>Global · sin filtro de idioma</x:v>
      </x:c>
      <x:c r="G1092" s="18" t="str">
        <x:v>search_volume</x:v>
      </x:c>
      <x:c r="H1092" s="18" t="str">
        <x:v>global-extras.json</x:v>
      </x:c>
      <x:c r="I1092" s="18" t="str">
        <x:v>10181911-1949-0367-0000-7212b74720dd</x:v>
      </x:c>
      <x:c r="J1092" s="18" t="str">
        <x:v>No</x:v>
      </x:c>
    </x:row>
    <x:row r="1093" ht="34" customHeight="1">
      <x:c r="A1093" s="18" t="str">
        <x:v>rock-paper-scissors</x:v>
      </x:c>
      <x:c r="B1093" s="18" t="str">
        <x:v>rock paper scissors</x:v>
      </x:c>
      <x:c r="C1093" s="19" t="n">
        <x:v>301000</x:v>
      </x:c>
      <x:c r="D1093" s="18" t="str">
        <x:v>Sí</x:v>
      </x:c>
      <x:c r="E1093" s="18" t="str">
        <x:v>2025-10 / 2026-09</x:v>
      </x:c>
      <x:c r="F1093" s="18" t="str">
        <x:v>Global · sin filtro de idioma</x:v>
      </x:c>
      <x:c r="G1093" s="18" t="str">
        <x:v>search_volume</x:v>
      </x:c>
      <x:c r="H1093" s="18" t="str">
        <x:v>global-initial-screen.json</x:v>
      </x:c>
      <x:c r="I1093" s="18" t="str">
        <x:v>10181645-1949-0367-0000-721aab5cac1a</x:v>
      </x:c>
      <x:c r="J1093" s="18" t="str">
        <x:v>No</x:v>
      </x:c>
    </x:row>
    <x:row r="1094" ht="34" customHeight="1">
      <x:c r="A1094" s="18" t="str">
        <x:v>rock-paper-scissors</x:v>
      </x:c>
      <x:c r="B1094" s="18" t="str">
        <x:v>piedra papel tijera</x:v>
      </x:c>
      <x:c r="C1094" s="19" t="n">
        <x:v>27100</x:v>
      </x:c>
      <x:c r="D1094" s="18" t="str">
        <x:v>No</x:v>
      </x:c>
      <x:c r="E1094" s="18" t="str">
        <x:v>2025-10 / 2026-09</x:v>
      </x:c>
      <x:c r="F1094" s="18" t="str">
        <x:v>Global · sin filtro de idioma</x:v>
      </x:c>
      <x:c r="G1094" s="18" t="str">
        <x:v>search_volume</x:v>
      </x:c>
      <x:c r="H1094" s="18" t="str">
        <x:v>global-extras.json</x:v>
      </x:c>
      <x:c r="I1094" s="18" t="str">
        <x:v>10181911-1949-0367-0000-7212b74720dd</x:v>
      </x:c>
      <x:c r="J1094" s="18" t="str">
        <x:v>No</x:v>
      </x:c>
    </x:row>
    <x:row r="1095" ht="34" customHeight="1">
      <x:c r="A1095" s="18" t="str">
        <x:v>rock-paper-scissors</x:v>
      </x:c>
      <x:c r="B1095" s="18" t="str">
        <x:v>rock paper scissors game</x:v>
      </x:c>
      <x:c r="C1095" s="19" t="n">
        <x:v>33100</x:v>
      </x:c>
      <x:c r="D1095" s="18" t="str">
        <x:v>No</x:v>
      </x:c>
      <x:c r="E1095" s="18" t="str">
        <x:v>2025-10 / 2026-09</x:v>
      </x:c>
      <x:c r="F1095" s="18" t="str">
        <x:v>Global · sin filtro de idioma</x:v>
      </x:c>
      <x:c r="G1095" s="18" t="str">
        <x:v>search_volume</x:v>
      </x:c>
      <x:c r="H1095" s="18" t="str">
        <x:v>global-extras.json</x:v>
      </x:c>
      <x:c r="I1095" s="18" t="str">
        <x:v>10181911-1949-0367-0000-7212b74720dd</x:v>
      </x:c>
      <x:c r="J1095" s="18" t="str">
        <x:v>No</x:v>
      </x:c>
    </x:row>
    <x:row r="1096" ht="34" customHeight="1">
      <x:c r="A1096" s="18" t="str">
        <x:v>lights-out</x:v>
      </x:c>
      <x:c r="B1096" s="18" t="str">
        <x:v>lights out game</x:v>
      </x:c>
      <x:c r="C1096" s="19" t="n">
        <x:v>4400</x:v>
      </x:c>
      <x:c r="D1096" s="18" t="str">
        <x:v>Sí</x:v>
      </x:c>
      <x:c r="E1096" s="18" t="str">
        <x:v>2025-10 / 2026-09</x:v>
      </x:c>
      <x:c r="F1096" s="18" t="str">
        <x:v>Global · sin filtro de idioma</x:v>
      </x:c>
      <x:c r="G1096" s="18" t="str">
        <x:v>search_volume</x:v>
      </x:c>
      <x:c r="H1096" s="18" t="str">
        <x:v>global-initial-screen.json</x:v>
      </x:c>
      <x:c r="I1096" s="18" t="str">
        <x:v>10181645-1949-0367-0000-721aab5cac1a</x:v>
      </x:c>
      <x:c r="J1096" s="18" t="str">
        <x:v>No</x:v>
      </x:c>
    </x:row>
    <x:row r="1097" ht="34" customHeight="1">
      <x:c r="A1097" s="18" t="str">
        <x:v>lights-out</x:v>
      </x:c>
      <x:c r="B1097" s="18" t="str">
        <x:v>lights out puzzle</x:v>
      </x:c>
      <x:c r="C1097" s="19" t="n">
        <x:v>1900</x:v>
      </x:c>
      <x:c r="D1097" s="18" t="str">
        <x:v>No</x:v>
      </x:c>
      <x:c r="E1097" s="18" t="str">
        <x:v>2025-10 / 2026-09</x:v>
      </x:c>
      <x:c r="F1097" s="18" t="str">
        <x:v>Global · sin filtro de idioma</x:v>
      </x:c>
      <x:c r="G1097" s="18" t="str">
        <x:v>search_volume</x:v>
      </x:c>
      <x:c r="H1097" s="18" t="str">
        <x:v>global-extras.json</x:v>
      </x:c>
      <x:c r="I1097" s="18" t="str">
        <x:v>10181911-1949-0367-0000-7212b74720dd</x:v>
      </x:c>
      <x:c r="J1097" s="18" t="str">
        <x:v>No</x:v>
      </x:c>
    </x:row>
    <x:row r="1098" ht="34" customHeight="1">
      <x:c r="A1098" s="18" t="str">
        <x:v>lights-out</x:v>
      </x:c>
      <x:c r="B1098" s="18" t="str">
        <x:v>apagar luces juego</x:v>
      </x:c>
      <x:c r="C1098" s="19" t="str">
        <x:v>n.a.</x:v>
      </x:c>
      <x:c r="D1098" s="18" t="str">
        <x:v>No</x:v>
      </x:c>
      <x:c r="E1098" s="18" t="str">
        <x:v>n.a.</x:v>
      </x:c>
      <x:c r="F1098" s="18" t="str">
        <x:v>Global · sin filtro de idioma</x:v>
      </x:c>
      <x:c r="G1098" s="18" t="str">
        <x:v>search_volume</x:v>
      </x:c>
      <x:c r="H1098" s="18" t="str">
        <x:v>global-extras.json</x:v>
      </x:c>
      <x:c r="I1098" s="18" t="str">
        <x:v>10181911-1949-0367-0000-7212b74720dd</x:v>
      </x:c>
      <x:c r="J1098" s="18" t="str">
        <x:v>No</x:v>
      </x:c>
    </x:row>
    <x:row r="1099" ht="34" customHeight="1">
      <x:c r="A1099" s="18" t="str">
        <x:v>hanoi-tower</x:v>
      </x:c>
      <x:c r="B1099" s="18" t="str">
        <x:v>tower of hanoi</x:v>
      </x:c>
      <x:c r="C1099" s="19" t="n">
        <x:v>90500</x:v>
      </x:c>
      <x:c r="D1099" s="18" t="str">
        <x:v>Sí</x:v>
      </x:c>
      <x:c r="E1099" s="18" t="str">
        <x:v>2025-10 / 2026-09</x:v>
      </x:c>
      <x:c r="F1099" s="18" t="str">
        <x:v>Global · sin filtro de idioma</x:v>
      </x:c>
      <x:c r="G1099" s="18" t="str">
        <x:v>search_volume</x:v>
      </x:c>
      <x:c r="H1099" s="18" t="str">
        <x:v>global-extras.json</x:v>
      </x:c>
      <x:c r="I1099" s="18" t="str">
        <x:v>10181911-1949-0367-0000-7212b74720dd</x:v>
      </x:c>
      <x:c r="J1099" s="18" t="str">
        <x:v>No</x:v>
      </x:c>
    </x:row>
    <x:row r="1100" ht="34" customHeight="1">
      <x:c r="A1100" s="18" t="str">
        <x:v>hanoi-tower</x:v>
      </x:c>
      <x:c r="B1100" s="18" t="str">
        <x:v>hanoi tower</x:v>
      </x:c>
      <x:c r="C1100" s="19" t="n">
        <x:v>90500</x:v>
      </x:c>
      <x:c r="D1100" s="18" t="str">
        <x:v>No</x:v>
      </x:c>
      <x:c r="E1100" s="18" t="str">
        <x:v>2025-10 / 2026-09</x:v>
      </x:c>
      <x:c r="F1100" s="18" t="str">
        <x:v>Global · sin filtro de idioma</x:v>
      </x:c>
      <x:c r="G1100" s="18" t="str">
        <x:v>search_volume</x:v>
      </x:c>
      <x:c r="H1100" s="18" t="str">
        <x:v>global-initial-screen.json</x:v>
      </x:c>
      <x:c r="I1100" s="18" t="str">
        <x:v>10181645-1949-0367-0000-721aab5cac1a</x:v>
      </x:c>
      <x:c r="J1100" s="18" t="str">
        <x:v>No</x:v>
      </x:c>
    </x:row>
    <x:row r="1101" ht="34" customHeight="1">
      <x:c r="A1101" s="18" t="str">
        <x:v>hanoi-tower</x:v>
      </x:c>
      <x:c r="B1101" s="18" t="str">
        <x:v>torres de hanoi</x:v>
      </x:c>
      <x:c r="C1101" s="19" t="n">
        <x:v>33100</x:v>
      </x:c>
      <x:c r="D1101" s="18" t="str">
        <x:v>No</x:v>
      </x:c>
      <x:c r="E1101" s="18" t="str">
        <x:v>2025-10 / 2026-09</x:v>
      </x:c>
      <x:c r="F1101" s="18" t="str">
        <x:v>Global · sin filtro de idioma</x:v>
      </x:c>
      <x:c r="G1101" s="18" t="str">
        <x:v>search_volume</x:v>
      </x:c>
      <x:c r="H1101" s="18" t="str">
        <x:v>global-extras.json</x:v>
      </x:c>
      <x:c r="I1101" s="18" t="str">
        <x:v>10181911-1949-0367-0000-7212b74720dd</x:v>
      </x:c>
      <x:c r="J1101" s="18" t="str">
        <x:v>No</x:v>
      </x:c>
    </x:row>
    <x:row r="1102" ht="34" customHeight="1">
      <x:c r="A1102" s="18" t="str">
        <x:v>pinochle</x:v>
      </x:c>
      <x:c r="B1102" s="18" t="str">
        <x:v>pinochle</x:v>
      </x:c>
      <x:c r="C1102" s="19" t="n">
        <x:v>90500</x:v>
      </x:c>
      <x:c r="D1102" s="18" t="str">
        <x:v>Sí</x:v>
      </x:c>
      <x:c r="E1102" s="18" t="str">
        <x:v>2025-10 / 2026-09</x:v>
      </x:c>
      <x:c r="F1102" s="18" t="str">
        <x:v>Global · sin filtro de idioma</x:v>
      </x:c>
      <x:c r="G1102" s="18" t="str">
        <x:v>search_volume</x:v>
      </x:c>
      <x:c r="H1102" s="18" t="str">
        <x:v>global-initial-screen.json</x:v>
      </x:c>
      <x:c r="I1102" s="18" t="str">
        <x:v>10181645-1949-0367-0000-721aab5cac1a</x:v>
      </x:c>
      <x:c r="J1102" s="18" t="str">
        <x:v>No</x:v>
      </x:c>
    </x:row>
    <x:row r="1103" ht="34" customHeight="1">
      <x:c r="A1103" s="18" t="str">
        <x:v>pinochle</x:v>
      </x:c>
      <x:c r="B1103" s="18" t="str">
        <x:v>pinochle online</x:v>
      </x:c>
      <x:c r="C1103" s="19" t="n">
        <x:v>18100</x:v>
      </x:c>
      <x:c r="D1103" s="18" t="str">
        <x:v>No</x:v>
      </x:c>
      <x:c r="E1103" s="18" t="str">
        <x:v>2025-10 / 2026-09</x:v>
      </x:c>
      <x:c r="F1103" s="18" t="str">
        <x:v>Global · sin filtro de idioma</x:v>
      </x:c>
      <x:c r="G1103" s="18" t="str">
        <x:v>search_volume</x:v>
      </x:c>
      <x:c r="H1103" s="18" t="str">
        <x:v>global-extras.json</x:v>
      </x:c>
      <x:c r="I1103" s="18" t="str">
        <x:v>10181911-1949-0367-0000-7212b74720dd</x:v>
      </x:c>
      <x:c r="J1103" s="18" t="str">
        <x:v>No</x:v>
      </x:c>
    </x:row>
    <x:row r="1104" ht="34" customHeight="1">
      <x:c r="A1104" s="18" t="str">
        <x:v>pinochle</x:v>
      </x:c>
      <x:c r="B1104" s="18" t="str">
        <x:v>pinochle card game</x:v>
      </x:c>
      <x:c r="C1104" s="19" t="n">
        <x:v>9900</x:v>
      </x:c>
      <x:c r="D1104" s="18" t="str">
        <x:v>No</x:v>
      </x:c>
      <x:c r="E1104" s="18" t="str">
        <x:v>2025-10 / 2026-09</x:v>
      </x:c>
      <x:c r="F1104" s="18" t="str">
        <x:v>Global · sin filtro de idioma</x:v>
      </x:c>
      <x:c r="G1104" s="18" t="str">
        <x:v>search_volume</x:v>
      </x:c>
      <x:c r="H1104" s="18" t="str">
        <x:v>global-extras.json</x:v>
      </x:c>
      <x:c r="I1104" s="18" t="str">
        <x:v>10181911-1949-0367-0000-7212b74720dd</x:v>
      </x:c>
      <x:c r="J1104" s="18" t="str">
        <x:v>No</x:v>
      </x:c>
    </x:row>
    <x:row r="1105" ht="34" customHeight="1">
      <x:c r="A1105" s="18" t="str">
        <x:v>whist</x:v>
      </x:c>
      <x:c r="B1105" s="18" t="str">
        <x:v>whist</x:v>
      </x:c>
      <x:c r="C1105" s="19" t="n">
        <x:v>110000</x:v>
      </x:c>
      <x:c r="D1105" s="18" t="str">
        <x:v>Sí</x:v>
      </x:c>
      <x:c r="E1105" s="18" t="str">
        <x:v>2025-10 / 2026-09</x:v>
      </x:c>
      <x:c r="F1105" s="18" t="str">
        <x:v>Global · sin filtro de idioma</x:v>
      </x:c>
      <x:c r="G1105" s="18" t="str">
        <x:v>search_volume</x:v>
      </x:c>
      <x:c r="H1105" s="18" t="str">
        <x:v>global-initial-screen.json</x:v>
      </x:c>
      <x:c r="I1105" s="18" t="str">
        <x:v>10181645-1949-0367-0000-721aab5cac1a</x:v>
      </x:c>
      <x:c r="J1105" s="18" t="str">
        <x:v>No</x:v>
      </x:c>
    </x:row>
    <x:row r="1106" ht="34" customHeight="1">
      <x:c r="A1106" s="18" t="str">
        <x:v>whist</x:v>
      </x:c>
      <x:c r="B1106" s="18" t="str">
        <x:v>whist online</x:v>
      </x:c>
      <x:c r="C1106" s="19" t="n">
        <x:v>12100</x:v>
      </x:c>
      <x:c r="D1106" s="18" t="str">
        <x:v>No</x:v>
      </x:c>
      <x:c r="E1106" s="18" t="str">
        <x:v>2025-10 / 2026-09</x:v>
      </x:c>
      <x:c r="F1106" s="18" t="str">
        <x:v>Global · sin filtro de idioma</x:v>
      </x:c>
      <x:c r="G1106" s="18" t="str">
        <x:v>search_volume</x:v>
      </x:c>
      <x:c r="H1106" s="18" t="str">
        <x:v>global-extras.json</x:v>
      </x:c>
      <x:c r="I1106" s="18" t="str">
        <x:v>10181911-1949-0367-0000-7212b74720dd</x:v>
      </x:c>
      <x:c r="J1106" s="18" t="str">
        <x:v>No</x:v>
      </x:c>
    </x:row>
    <x:row r="1107" ht="34" customHeight="1">
      <x:c r="A1107" s="18" t="str">
        <x:v>whist</x:v>
      </x:c>
      <x:c r="B1107" s="18" t="str">
        <x:v>whist card game</x:v>
      </x:c>
      <x:c r="C1107" s="19" t="n">
        <x:v>110000</x:v>
      </x:c>
      <x:c r="D1107" s="18" t="str">
        <x:v>No</x:v>
      </x:c>
      <x:c r="E1107" s="18" t="str">
        <x:v>2025-10 / 2026-09</x:v>
      </x:c>
      <x:c r="F1107" s="18" t="str">
        <x:v>Global · sin filtro de idioma</x:v>
      </x:c>
      <x:c r="G1107" s="18" t="str">
        <x:v>search_volume</x:v>
      </x:c>
      <x:c r="H1107" s="18" t="str">
        <x:v>global-extras.json</x:v>
      </x:c>
      <x:c r="I1107" s="18" t="str">
        <x:v>10181911-1949-0367-0000-7212b74720dd</x:v>
      </x:c>
      <x:c r="J1107" s="18" t="str">
        <x:v>No</x:v>
      </x:c>
    </x:row>
    <x:row r="1108" ht="34" customHeight="1">
      <x:c r="A1108" s="18" t="str">
        <x:v>craps-practice</x:v>
      </x:c>
      <x:c r="B1108" s="18" t="str">
        <x:v>craps</x:v>
      </x:c>
      <x:c r="C1108" s="19" t="n">
        <x:v>165000</x:v>
      </x:c>
      <x:c r="D1108" s="18" t="str">
        <x:v>Sí</x:v>
      </x:c>
      <x:c r="E1108" s="18" t="str">
        <x:v>2025-10 / 2026-09</x:v>
      </x:c>
      <x:c r="F1108" s="18" t="str">
        <x:v>Global · sin filtro de idioma</x:v>
      </x:c>
      <x:c r="G1108" s="18" t="str">
        <x:v>search_volume</x:v>
      </x:c>
      <x:c r="H1108" s="18" t="str">
        <x:v>global-extras.json</x:v>
      </x:c>
      <x:c r="I1108" s="18" t="str">
        <x:v>10181911-1949-0367-0000-7212b74720dd</x:v>
      </x:c>
      <x:c r="J1108" s="18" t="str">
        <x:v>No</x:v>
      </x:c>
    </x:row>
    <x:row r="1109" ht="34" customHeight="1">
      <x:c r="A1109" s="18" t="str">
        <x:v>craps-practice</x:v>
      </x:c>
      <x:c r="B1109" s="18" t="str">
        <x:v>craps game</x:v>
      </x:c>
      <x:c r="C1109" s="19" t="n">
        <x:v>165000</x:v>
      </x:c>
      <x:c r="D1109" s="18" t="str">
        <x:v>No</x:v>
      </x:c>
      <x:c r="E1109" s="18" t="str">
        <x:v>2025-10 / 2026-09</x:v>
      </x:c>
      <x:c r="F1109" s="18" t="str">
        <x:v>Global · sin filtro de idioma</x:v>
      </x:c>
      <x:c r="G1109" s="18" t="str">
        <x:v>search_volume</x:v>
      </x:c>
      <x:c r="H1109" s="18" t="str">
        <x:v>global-initial-screen.json</x:v>
      </x:c>
      <x:c r="I1109" s="18" t="str">
        <x:v>10181645-1949-0367-0000-721aab5cac1a</x:v>
      </x:c>
      <x:c r="J1109" s="18" t="str">
        <x:v>No</x:v>
      </x:c>
    </x:row>
    <x:row r="1110" ht="34" customHeight="1">
      <x:c r="A1110" s="18" t="str">
        <x:v>craps-practice</x:v>
      </x:c>
      <x:c r="B1110" s="18" t="str">
        <x:v>craps simulator</x:v>
      </x:c>
      <x:c r="C1110" s="19" t="n">
        <x:v>8100</x:v>
      </x:c>
      <x:c r="D1110" s="18" t="str">
        <x:v>No</x:v>
      </x:c>
      <x:c r="E1110" s="18" t="str">
        <x:v>2025-10 / 2026-09</x:v>
      </x:c>
      <x:c r="F1110" s="18" t="str">
        <x:v>Global · sin filtro de idioma</x:v>
      </x:c>
      <x:c r="G1110" s="18" t="str">
        <x:v>search_volume</x:v>
      </x:c>
      <x:c r="H1110" s="18" t="str">
        <x:v>global-extras.json</x:v>
      </x:c>
      <x:c r="I1110" s="18" t="str">
        <x:v>10181911-1949-0367-0000-7212b74720dd</x:v>
      </x:c>
      <x:c r="J1110" s="18" t="str">
        <x:v>No</x:v>
      </x:c>
    </x:row>
    <x:row r="1111" ht="34" customHeight="1">
      <x:c r="A1111" s="18" t="str">
        <x:v>stock-screening-local</x:v>
      </x:c>
      <x:c r="B1111" s="18" t="str">
        <x:v>stock screener</x:v>
      </x:c>
      <x:c r="C1111" s="19" t="n">
        <x:v>74000</x:v>
      </x:c>
      <x:c r="D1111" s="18" t="str">
        <x:v>Sí</x:v>
      </x:c>
      <x:c r="E1111" s="18" t="str">
        <x:v>2025-10 / 2026-09</x:v>
      </x:c>
      <x:c r="F1111" s="18" t="str">
        <x:v>Global · sin filtro de idioma</x:v>
      </x:c>
      <x:c r="G1111" s="18" t="str">
        <x:v>search_volume</x:v>
      </x:c>
      <x:c r="H1111" s="18" t="str">
        <x:v>global-extras.json</x:v>
      </x:c>
      <x:c r="I1111" s="18" t="str">
        <x:v>10181911-1949-0367-0000-7212b74720dd</x:v>
      </x:c>
      <x:c r="J1111" s="18" t="str">
        <x:v>No</x:v>
      </x:c>
    </x:row>
    <x:row r="1112" ht="34" customHeight="1">
      <x:c r="A1112" s="18" t="str">
        <x:v>stock-screening-local</x:v>
      </x:c>
      <x:c r="B1112" s="18" t="str">
        <x:v>stock screening</x:v>
      </x:c>
      <x:c r="C1112" s="19" t="n">
        <x:v>74000</x:v>
      </x:c>
      <x:c r="D1112" s="18" t="str">
        <x:v>No</x:v>
      </x:c>
      <x:c r="E1112" s="18" t="str">
        <x:v>2025-10 / 2026-09</x:v>
      </x:c>
      <x:c r="F1112" s="18" t="str">
        <x:v>Global · sin filtro de idioma</x:v>
      </x:c>
      <x:c r="G1112" s="18" t="str">
        <x:v>search_volume</x:v>
      </x:c>
      <x:c r="H1112" s="18" t="str">
        <x:v>global-extras.json</x:v>
      </x:c>
      <x:c r="I1112" s="18" t="str">
        <x:v>10181911-1949-0367-0000-7212b74720dd</x:v>
      </x:c>
      <x:c r="J1112" s="18" t="str">
        <x:v>No</x:v>
      </x:c>
    </x:row>
    <x:row r="1113" ht="34" customHeight="1">
      <x:c r="A1113" s="18" t="str">
        <x:v>stock-screening-local</x:v>
      </x:c>
      <x:c r="B1113" s="18" t="str">
        <x:v>filtro acciones</x:v>
      </x:c>
      <x:c r="C1113" s="19" t="str">
        <x:v>n.a.</x:v>
      </x:c>
      <x:c r="D1113" s="18" t="str">
        <x:v>No</x:v>
      </x:c>
      <x:c r="E1113" s="18" t="str">
        <x:v>n.a.</x:v>
      </x:c>
      <x:c r="F1113" s="18" t="str">
        <x:v>Global · sin filtro de idioma</x:v>
      </x:c>
      <x:c r="G1113" s="18" t="str">
        <x:v>search_volume</x:v>
      </x:c>
      <x:c r="H1113" s="18" t="str">
        <x:v>global-extras.json</x:v>
      </x:c>
      <x:c r="I1113" s="18" t="str">
        <x:v>10181911-1949-0367-0000-7212b74720dd</x:v>
      </x:c>
      <x:c r="J1113" s="18" t="str">
        <x:v>No</x:v>
      </x:c>
    </x:row>
    <x:row r="1114" ht="34" customHeight="1">
      <x:c r="A1114" s="18" t="str">
        <x:v>economic-calendar</x:v>
      </x:c>
      <x:c r="B1114" s="18" t="str">
        <x:v>economic calendar</x:v>
      </x:c>
      <x:c r="C1114" s="19" t="n">
        <x:v>201000</x:v>
      </x:c>
      <x:c r="D1114" s="18" t="str">
        <x:v>Sí</x:v>
      </x:c>
      <x:c r="E1114" s="18" t="str">
        <x:v>2025-10 / 2026-09</x:v>
      </x:c>
      <x:c r="F1114" s="18" t="str">
        <x:v>Global · sin filtro de idioma</x:v>
      </x:c>
      <x:c r="G1114" s="18" t="str">
        <x:v>search_volume</x:v>
      </x:c>
      <x:c r="H1114" s="18" t="str">
        <x:v>global-extras.json</x:v>
      </x:c>
      <x:c r="I1114" s="18" t="str">
        <x:v>10181911-1949-0367-0000-7212b74720dd</x:v>
      </x:c>
      <x:c r="J1114" s="18" t="str">
        <x:v>No</x:v>
      </x:c>
    </x:row>
    <x:row r="1115" ht="34" customHeight="1">
      <x:c r="A1115" s="18" t="str">
        <x:v>dream-journal-symbols</x:v>
      </x:c>
      <x:c r="B1115" s="18" t="str">
        <x:v>dream dictionary</x:v>
      </x:c>
      <x:c r="C1115" s="19" t="n">
        <x:v>60500</x:v>
      </x:c>
      <x:c r="D1115" s="18" t="str">
        <x:v>No</x:v>
      </x:c>
      <x:c r="E1115" s="18" t="str">
        <x:v>2025-10 / 2026-09</x:v>
      </x:c>
      <x:c r="F1115" s="18" t="str">
        <x:v>Global · sin filtro de idioma</x:v>
      </x:c>
      <x:c r="G1115" s="18" t="str">
        <x:v>search_volume</x:v>
      </x:c>
      <x:c r="H1115" s="18" t="str">
        <x:v>global-initial-screen.json</x:v>
      </x:c>
      <x:c r="I1115" s="18" t="str">
        <x:v>10181645-1949-0367-0000-721aab5cac1a</x:v>
      </x:c>
      <x:c r="J1115" s="18" t="str">
        <x:v>No</x:v>
      </x:c>
    </x:row>
    <x:row r="1116" ht="34" customHeight="1">
      <x:c r="A1116" s="18" t="str">
        <x:v>dream-journal-symbols</x:v>
      </x:c>
      <x:c r="B1116" s="18" t="str">
        <x:v>dream meaning</x:v>
      </x:c>
      <x:c r="C1116" s="19" t="n">
        <x:v>74000</x:v>
      </x:c>
      <x:c r="D1116" s="18" t="str">
        <x:v>Sí</x:v>
      </x:c>
      <x:c r="E1116" s="18" t="str">
        <x:v>2025-10 / 2026-09</x:v>
      </x:c>
      <x:c r="F1116" s="18" t="str">
        <x:v>Global · sin filtro de idioma</x:v>
      </x:c>
      <x:c r="G1116" s="18" t="str">
        <x:v>search_volume</x:v>
      </x:c>
      <x:c r="H1116" s="18" t="str">
        <x:v>global-extras.json</x:v>
      </x:c>
      <x:c r="I1116" s="18" t="str">
        <x:v>10181911-1949-0367-0000-7212b74720dd</x:v>
      </x:c>
      <x:c r="J1116" s="18" t="str">
        <x:v>No</x:v>
      </x:c>
    </x:row>
    <x:row r="1117" ht="34" customHeight="1">
      <x:c r="A1117" s="18" t="str">
        <x:v>dream-journal-symbols</x:v>
      </x:c>
      <x:c r="B1117" s="18" t="str">
        <x:v>significado sueños</x:v>
      </x:c>
      <x:c r="C1117" s="19" t="n">
        <x:v>3600</x:v>
      </x:c>
      <x:c r="D1117" s="18" t="str">
        <x:v>No</x:v>
      </x:c>
      <x:c r="E1117" s="18" t="str">
        <x:v>2025-10 / 2026-09</x:v>
      </x:c>
      <x:c r="F1117" s="18" t="str">
        <x:v>Global · sin filtro de idioma</x:v>
      </x:c>
      <x:c r="G1117" s="18" t="str">
        <x:v>search_volume</x:v>
      </x:c>
      <x:c r="H1117" s="18" t="str">
        <x:v>global-extras.json</x:v>
      </x:c>
      <x:c r="I1117" s="18" t="str">
        <x:v>10181911-1949-0367-0000-7212b74720dd</x:v>
      </x:c>
      <x:c r="J1117" s="18" t="str">
        <x:v>No</x:v>
      </x:c>
    </x:row>
    <x:row r="1118" ht="34" customHeight="1">
      <x:c r="A1118" s="18" t="str">
        <x:v>panchang-calendar</x:v>
      </x:c>
      <x:c r="B1118" s="18" t="str">
        <x:v>panchang aaj ka</x:v>
      </x:c>
      <x:c r="C1118" s="19" t="n">
        <x:v>550000</x:v>
      </x:c>
      <x:c r="D1118" s="18" t="str">
        <x:v>Sí</x:v>
      </x:c>
      <x:c r="E1118" s="18" t="str">
        <x:v>2025-10 / 2026-09</x:v>
      </x:c>
      <x:c r="F1118" s="18" t="str">
        <x:v>Global · sin filtro de idioma</x:v>
      </x:c>
      <x:c r="G1118" s="18" t="str">
        <x:v>search_volume</x:v>
      </x:c>
      <x:c r="H1118" s="18" t="str">
        <x:v>global-final-screen.json</x:v>
      </x:c>
      <x:c r="I1118" s="18" t="str">
        <x:v>10181918-1949-0367-0000-858bd36e8091</x:v>
      </x:c>
      <x:c r="J1118" s="18" t="str">
        <x:v>No</x:v>
      </x:c>
    </x:row>
    <x:row r="1119" ht="34" customHeight="1">
      <x:c r="A1119" s="18" t="str">
        <x:v>panchang-calendar</x:v>
      </x:c>
      <x:c r="B1119" s="18" t="str">
        <x:v>panchang</x:v>
      </x:c>
      <x:c r="C1119" s="19" t="n">
        <x:v>90500</x:v>
      </x:c>
      <x:c r="D1119" s="18" t="str">
        <x:v>No</x:v>
      </x:c>
      <x:c r="E1119" s="18" t="str">
        <x:v>2025-10 / 2026-09</x:v>
      </x:c>
      <x:c r="F1119" s="18" t="str">
        <x:v>Global · sin filtro de idioma</x:v>
      </x:c>
      <x:c r="G1119" s="18" t="str">
        <x:v>search_volume</x:v>
      </x:c>
      <x:c r="H1119" s="18" t="str">
        <x:v>global-final-screen.json</x:v>
      </x:c>
      <x:c r="I1119" s="18" t="str">
        <x:v>10181918-1949-0367-0000-858bd36e8091</x:v>
      </x:c>
      <x:c r="J1119" s="18" t="str">
        <x:v>No</x:v>
      </x:c>
    </x:row>
    <x:row r="1120" ht="34" customHeight="1">
      <x:c r="A1120" s="18" t="str">
        <x:v>panchang-calendar</x:v>
      </x:c>
      <x:c r="B1120" s="18" t="str">
        <x:v>आज का पंचांग</x:v>
      </x:c>
      <x:c r="C1120" s="19" t="n">
        <x:v>110000</x:v>
      </x:c>
      <x:c r="D1120" s="18" t="str">
        <x:v>No</x:v>
      </x:c>
      <x:c r="E1120" s="18" t="str">
        <x:v>2025-10 / 2026-09</x:v>
      </x:c>
      <x:c r="F1120" s="18" t="str">
        <x:v>Global · sin filtro de idioma</x:v>
      </x:c>
      <x:c r="G1120" s="18" t="str">
        <x:v>search_volume</x:v>
      </x:c>
      <x:c r="H1120" s="18" t="str">
        <x:v>global-final-screen.json</x:v>
      </x:c>
      <x:c r="I1120" s="18" t="str">
        <x:v>10181918-1949-0367-0000-858bd36e8091</x:v>
      </x:c>
      <x:c r="J1120" s="18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8169b9fb19e14fd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4" hidden="0" customWidth="1"/>
    <x:col min="2" max="2" width="43" hidden="0" customWidth="1"/>
    <x:col min="3" max="3" width="39" hidden="0" customWidth="1"/>
    <x:col min="4" max="4" width="15" hidden="0" customWidth="1"/>
    <x:col min="5" max="5" width="110" hidden="0" customWidth="1"/>
    <x:col min="6" max="6" width="100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7" customHeight="1">
      <x:c r="A2" s="3" t="str">
        <x:v>Propuestas retiradas de las 300 candidatas</x:v>
      </x:c>
      <x:c r="B2" s="2"/>
      <x:c r="C2" s="2"/>
      <x:c r="D2" s="2"/>
      <x:c r="E2" s="2"/>
      <x:c r="F2" s="2"/>
    </x:row>
    <x:row r="3" ht="22" customHeight="1">
      <x:c r="A3" s="4"/>
      <x:c r="B3" s="4"/>
      <x:c r="C3" s="4"/>
      <x:c r="D3" s="4"/>
      <x:c r="E3" s="4"/>
      <x:c r="F3" s="4"/>
    </x:row>
    <x:row r="4" ht="22" customHeight="1">
      <x:c r="A4" s="9" t="str">
        <x:v>Incluye coincidencias con las actuales, ampliaciones que conviene integrar y candidatas de menor prioridad.</x:v>
      </x:c>
      <x:c r="B4" s="2"/>
      <x:c r="C4" s="2"/>
      <x:c r="D4" s="2"/>
      <x:c r="E4" s="2"/>
      <x:c r="F4" s="2"/>
    </x:row>
    <x:row r="5" ht="22" customHeight="1">
      <x:c r="A5" s="2"/>
      <x:c r="B5" s="2"/>
      <x:c r="C5" s="2"/>
      <x:c r="D5" s="2"/>
      <x:c r="E5" s="2"/>
      <x:c r="F5" s="2"/>
    </x:row>
    <x:row r="6" ht="32" customHeight="1">
      <x:c r="A6" s="14" t="str">
        <x:v>ID de propuesta</x:v>
      </x:c>
      <x:c r="B6" s="15" t="str">
        <x:v>Propuesta</x:v>
      </x:c>
      <x:c r="C6" s="15" t="str">
        <x:v>Consulta principal</x:v>
      </x:c>
      <x:c r="D6" s="15" t="str">
        <x:v>Búsq./mes</x:v>
      </x:c>
      <x:c r="E6" s="15" t="str">
        <x:v>Motivo de exclusión</x:v>
      </x:c>
      <x:c r="F6" s="16" t="str">
        <x:v>Función que se había propuesto</x:v>
      </x:c>
    </x:row>
    <x:row r="7" ht="52" customHeight="1">
      <x:c r="A7" s="18" t="str">
        <x:v>fingerspelling-trainer</x:v>
      </x:c>
      <x:c r="B7" s="18" t="str">
        <x:v>Alfabeto manual de signos</x:v>
      </x:c>
      <x:c r="C7" s="18" t="str">
        <x:v>fingerspelling practice</x:v>
      </x:c>
      <x:c r="D7" s="19" t="n">
        <x:v>1000</x:v>
      </x:c>
      <x:c r="E7" s="18" t="str">
        <x:v>Fuera de las 300 candidatas por menor demanda medida; no aprobado para implementación.</x:v>
      </x:c>
      <x:c r="F7" s="18" t="str">
        <x:v>Aprender y practicar deletreo visual de una lengua de signos elegida.</x:v>
      </x:c>
    </x:row>
    <x:row r="8" ht="52" customHeight="1">
      <x:c r="A8" s="18" t="str">
        <x:v>perspective-corrector</x:v>
      </x:c>
      <x:c r="B8" s="18" t="str">
        <x:v>Corrector de perspectiva</x:v>
      </x:c>
      <x:c r="C8" s="18" t="str">
        <x:v>perspective tool</x:v>
      </x:c>
      <x:c r="D8" s="19" t="n">
        <x:v>1000</x:v>
      </x:c>
      <x:c r="E8" s="18" t="str">
        <x:v>Fuera de las 300 candidatas por menor demanda medida; no aprobado para implementación.</x:v>
      </x:c>
      <x:c r="F8" s="18" t="str">
        <x:v>Rectificar un cuadrilátero con cuatro puntos y exportar imagen frontal.</x:v>
      </x:c>
    </x:row>
    <x:row r="9" ht="52" customHeight="1">
      <x:c r="A9" s="18" t="str">
        <x:v>lens-distortion-corrector</x:v>
      </x:c>
      <x:c r="B9" s="18" t="str">
        <x:v>Corrector de distorsión de lente</x:v>
      </x:c>
      <x:c r="C9" s="18" t="str">
        <x:v>lens distortion correction</x:v>
      </x:c>
      <x:c r="D9" s="19" t="n">
        <x:v>880</x:v>
      </x:c>
      <x:c r="E9" s="18" t="str">
        <x:v>Fuera de las 300 candidatas por menor demanda medida; no aprobado para implementación.</x:v>
      </x:c>
      <x:c r="F9" s="18" t="str">
        <x:v>Ajustar distorsión radial y tangencial con vista de cuadrícula.</x:v>
      </x:c>
    </x:row>
    <x:row r="10" ht="52" customHeight="1">
      <x:c r="A10" s="18" t="str">
        <x:v>three-way-merge</x:v>
      </x:c>
      <x:c r="B10" s="18" t="str">
        <x:v>Fusionador de tres versiones</x:v>
      </x:c>
      <x:c r="C10" s="18" t="str">
        <x:v>merge tool</x:v>
      </x:c>
      <x:c r="D10" s="19" t="n">
        <x:v>1600</x:v>
      </x:c>
      <x:c r="E10" s="18" t="str">
        <x:v>Fuera de las 300 candidatas por menor demanda medida; no aprobado para implementación.</x:v>
      </x:c>
      <x:c r="F10" s="18" t="str">
        <x:v>Comparar base y dos revisiones, resolver conflictos y exportar el documento fusionado.</x:v>
      </x:c>
    </x:row>
    <x:row r="11" ht="52" customHeight="1">
      <x:c r="A11" s="18" t="str">
        <x:v>software-license-chooser</x:v>
      </x:c>
      <x:c r="B11" s="18" t="str">
        <x:v>Selector de licencias de software</x:v>
      </x:c>
      <x:c r="C11" s="18" t="str">
        <x:v>choose a license</x:v>
      </x:c>
      <x:c r="D11" s="19" t="n">
        <x:v>1000</x:v>
      </x:c>
      <x:c r="E11" s="18" t="str">
        <x:v>Fuera de las 300 candidatas por menor demanda medida; no aprobado para implementación.</x:v>
      </x:c>
      <x:c r="F11" s="18" t="str">
        <x:v>Comparar condiciones de licencias y generar avisos con atribuciones.</x:v>
      </x:c>
    </x:row>
    <x:row r="12" ht="52" customHeight="1">
      <x:c r="A12" s="18" t="str">
        <x:v>file-type-detector</x:v>
      </x:c>
      <x:c r="B12" s="18" t="str">
        <x:v>Identificador de tipo de archivo</x:v>
      </x:c>
      <x:c r="C12" s="18" t="str">
        <x:v>file type checker</x:v>
      </x:c>
      <x:c r="D12" s="19" t="n">
        <x:v>1300</x:v>
      </x:c>
      <x:c r="E12" s="18" t="str">
        <x:v>Fuera de las 300 candidatas por menor demanda medida; no aprobado para implementación.</x:v>
      </x:c>
      <x:c r="F12" s="18" t="str">
        <x:v>Leer firmas binarias, comparar extensión y mostrar formatos candidatos.</x:v>
      </x:c>
    </x:row>
    <x:row r="13" ht="52" customHeight="1">
      <x:c r="A13" s="18" t="str">
        <x:v>binary-disassembler</x:v>
      </x:c>
      <x:c r="B13" s="18" t="str">
        <x:v>Desensamblador local</x:v>
      </x:c>
      <x:c r="C13" s="18" t="str">
        <x:v>disassembler online</x:v>
      </x:c>
      <x:c r="D13" s="19" t="n">
        <x:v>1300</x:v>
      </x:c>
      <x:c r="E13" s="18" t="str">
        <x:v>Fuera de las 300 candidatas por menor demanda medida; no aprobado para implementación.</x:v>
      </x:c>
      <x:c r="F13" s="18" t="str">
        <x:v>Interpretar instrucciones de una arquitectura seleccionada y navegar offsets.</x:v>
      </x:c>
    </x:row>
    <x:row r="14" ht="52" customHeight="1">
      <x:c r="A14" s="18" t="str">
        <x:v>local-file-search</x:v>
      </x:c>
      <x:c r="B14" s="18" t="str">
        <x:v>Buscador local de archivos</x:v>
      </x:c>
      <x:c r="C14" s="18" t="str">
        <x:v>search in files</x:v>
      </x:c>
      <x:c r="D14" s="19" t="n">
        <x:v>260</x:v>
      </x:c>
      <x:c r="E14" s="18" t="str">
        <x:v>Fuera de las 300 candidatas por menor demanda medida; no aprobado para implementación.</x:v>
      </x:c>
      <x:c r="F14" s="18" t="str">
        <x:v>Buscar contenido y nombres en una carpeta autorizada y exportar coincidencias.</x:v>
      </x:c>
    </x:row>
    <x:row r="15" ht="52" customHeight="1">
      <x:c r="A15" s="18" t="str">
        <x:v>buraco</x:v>
      </x:c>
      <x:c r="B15" s="18" t="str">
        <x:v>Buraco</x:v>
      </x:c>
      <x:c r="C15" s="18" t="str">
        <x:v>burraco</x:v>
      </x:c>
      <x:c r="D15" s="19" t="n">
        <x:v>49500</x:v>
      </x:c>
      <x:c r="E15" s="18" t="str">
        <x:v>Solapamiento de combinaciones con canasta-card-game pendiente de resolver; no reservar una URL nueva.</x:v>
      </x:c>
      <x:c r="F15" s="18" t="str">
        <x:v>Jugar combinaciones, tomar el pozo y cerrar con canastas según regla elegida.</x:v>
      </x:c>
    </x:row>
    <x:row r="16" ht="52" customHeight="1">
      <x:c r="A16" s="18" t="str">
        <x:v>french-tarot</x:v>
      </x:c>
      <x:c r="B16" s="18" t="str">
        <x:v>Tarot francés de cartas</x:v>
      </x:c>
      <x:c r="C16" s="18" t="str">
        <x:v>tarot jeu</x:v>
      </x:c>
      <x:c r="D16" s="19" t="str">
        <x:v>n.a.</x:v>
      </x:c>
      <x:c r="E16" s="18" t="str">
        <x:v>Fuera de las 300 candidatas por menor demanda medida; no aprobado para implementación.</x:v>
      </x:c>
      <x:c r="F16" s="18" t="str">
        <x:v>Jugar bazas con triunfo numerado, contratos y compañero variable.</x:v>
      </x:c>
    </x:row>
    <x:row r="17" ht="52" customHeight="1">
      <x:c r="A17" s="18" t="str">
        <x:v>chinese-checkers</x:v>
      </x:c>
      <x:c r="B17" s="18" t="str">
        <x:v>Damas chinas</x:v>
      </x:c>
      <x:c r="C17" s="18" t="str">
        <x:v>chinese checkers</x:v>
      </x:c>
      <x:c r="D17" s="19" t="n">
        <x:v>60500</x:v>
      </x:c>
      <x:c r="E17" s="18" t="str">
        <x:v>La familia Halma ya está en halma-game; priorizar variante dentro de la existente.</x:v>
      </x:c>
      <x:c r="F17" s="18" t="str">
        <x:v>Mover por saltos hacia la zona opuesta con 2–6 jugadores locales.</x:v>
      </x:c>
    </x:row>
    <x:row r="18" ht="52" customHeight="1">
      <x:c r="A18" s="18" t="str">
        <x:v>nine-mens-morris</x:v>
      </x:c>
      <x:c r="B18" s="18" t="str">
        <x:v>Molino de nueve fichas</x:v>
      </x:c>
      <x:c r="C18" s="18" t="str">
        <x:v>nine mens morris</x:v>
      </x:c>
      <x:c r="D18" s="19" t="n">
        <x:v>18100</x:v>
      </x:c>
      <x:c r="E18" s="18" t="str">
        <x:v>Ya existe nine-mens-morris.</x:v>
      </x:c>
      <x:c r="F18" s="18" t="str">
        <x:v>Colocar, mover y formar molinos para retirar fichas, con fase de vuelo elegible.</x:v>
      </x:c>
    </x:row>
    <x:row r="19" ht="52" customHeight="1">
      <x:c r="A19" s="18" t="str">
        <x:v>breakthrough-game</x:v>
      </x:c>
      <x:c r="B19" s="18" t="str">
        <x:v>Breakthrough</x:v>
      </x:c>
      <x:c r="C19" s="18" t="str">
        <x:v>breakthrough game</x:v>
      </x:c>
      <x:c r="D19" s="19" t="n">
        <x:v>1000</x:v>
      </x:c>
      <x:c r="E19" s="18" t="str">
        <x:v>Fuera de las 300 candidatas por menor demanda medida; no aprobado para implementación.</x:v>
      </x:c>
      <x:c r="F19" s="18" t="str">
        <x:v>Avanzar peones y alcanzar la última fila del rival con movimientos propios del juego.</x:v>
      </x:c>
    </x:row>
    <x:row r="20" ht="52" customHeight="1">
      <x:c r="A20" s="18" t="str">
        <x:v>sprouts-game</x:v>
      </x:c>
      <x:c r="B20" s="18" t="str">
        <x:v>Sprouts</x:v>
      </x:c>
      <x:c r="C20" s="18" t="str">
        <x:v>sprouts game</x:v>
      </x:c>
      <x:c r="D20" s="19" t="n">
        <x:v>1900</x:v>
      </x:c>
      <x:c r="E20" s="18" t="str">
        <x:v>Fuera de las 300 candidatas por menor demanda medida; no aprobado para implementación.</x:v>
      </x:c>
      <x:c r="F20" s="18" t="str">
        <x:v>Dibujar conexiones sin cruces, añadir nodos y respetar grado máximo de tres.</x:v>
      </x:c>
    </x:row>
    <x:row r="21" ht="52" customHeight="1">
      <x:c r="A21" s="18" t="str">
        <x:v>numberlink</x:v>
      </x:c>
      <x:c r="B21" s="18" t="str">
        <x:v>Numberlink</x:v>
      </x:c>
      <x:c r="C21" s="18" t="str">
        <x:v>numberlink</x:v>
      </x:c>
      <x:c r="D21" s="19" t="n">
        <x:v>1600</x:v>
      </x:c>
      <x:c r="E21" s="18" t="str">
        <x:v>Fuera de las 300 candidatas por menor demanda medida; no aprobado para implementación.</x:v>
      </x:c>
      <x:c r="F21" s="18" t="str">
        <x:v>Conectar parejas con caminos sin cruces que cubran la cuadrícula.</x:v>
      </x:c>
    </x:row>
    <x:row r="22" ht="52" customHeight="1">
      <x:c r="A22" s="18" t="str">
        <x:v>yajilin-puzzle</x:v>
      </x:c>
      <x:c r="B22" s="18" t="str">
        <x:v>Yajilin</x:v>
      </x:c>
      <x:c r="C22" s="18" t="str">
        <x:v>yajilin</x:v>
      </x:c>
      <x:c r="D22" s="19" t="n">
        <x:v>390</x:v>
      </x:c>
      <x:c r="E22" s="18" t="str">
        <x:v>Fuera de las 300 candidatas por menor demanda medida; no aprobado para implementación.</x:v>
      </x:c>
      <x:c r="F22" s="18" t="str">
        <x:v>Dibujar un bucle y colocar bloques según pistas direccionales.</x:v>
      </x:c>
    </x:row>
    <x:row r="23" ht="52" customHeight="1">
      <x:c r="A23" s="18" t="str">
        <x:v>kuromasu-puzzle</x:v>
      </x:c>
      <x:c r="B23" s="18" t="str">
        <x:v>Kuromasu</x:v>
      </x:c>
      <x:c r="C23" s="18" t="str">
        <x:v>kuromasu</x:v>
      </x:c>
      <x:c r="D23" s="19" t="n">
        <x:v>590</x:v>
      </x:c>
      <x:c r="E23" s="18" t="str">
        <x:v>Fuera de las 300 candidatas por menor demanda medida; no aprobado para implementación.</x:v>
      </x:c>
      <x:c r="F23" s="18" t="str">
        <x:v>Sombrear casillas para cumplir conteos de visibilidad y conectividad.</x:v>
      </x:c>
    </x:row>
    <x:row r="24" ht="52" customHeight="1">
      <x:c r="A24" s="18" t="str">
        <x:v>tents-and-trees</x:v>
      </x:c>
      <x:c r="B24" s="18" t="str">
        <x:v>Tiendas y árboles</x:v>
      </x:c>
      <x:c r="C24" s="18" t="str">
        <x:v>tents and trees</x:v>
      </x:c>
      <x:c r="D24" s="19" t="n">
        <x:v>1600</x:v>
      </x:c>
      <x:c r="E24" s="18" t="str">
        <x:v>Fuera de las 300 candidatas por menor demanda medida; no aprobado para implementación.</x:v>
      </x:c>
      <x:c r="F24" s="18" t="str">
        <x:v>Colocar una tienda por árbol respetando adyacencias y conteos.</x:v>
      </x:c>
    </x:row>
    <x:row r="25" ht="52" customHeight="1">
      <x:c r="A25" s="18" t="str">
        <x:v>unit-circle-trainer</x:v>
      </x:c>
      <x:c r="B25" s="18" t="str">
        <x:v>Círculo unitario interactivo</x:v>
      </x:c>
      <x:c r="C25" s="18" t="str">
        <x:v>unit circle calculator</x:v>
      </x:c>
      <x:c r="D25" s="19" t="n">
        <x:v>1300</x:v>
      </x:c>
      <x:c r="E25" s="18" t="str">
        <x:v>Fuera de las 300 candidatas por menor demanda medida; no aprobado para implementación.</x:v>
      </x:c>
      <x:c r="F25" s="18" t="str">
        <x:v>Explorar ángulos, coordenadas y valores trigonométricos con prácticas.</x:v>
      </x:c>
    </x:row>
    <x:row r="26" ht="52" customHeight="1">
      <x:c r="A26" s="18" t="str">
        <x:v>electron-configuration</x:v>
      </x:c>
      <x:c r="B26" s="18" t="str">
        <x:v>Configuración electrónica</x:v>
      </x:c>
      <x:c r="C26" s="18" t="str">
        <x:v>electron configuration calculator</x:v>
      </x:c>
      <x:c r="D26" s="19" t="n">
        <x:v>590</x:v>
      </x:c>
      <x:c r="E26" s="18" t="str">
        <x:v>Fuera de las 300 candidatas por menor demanda medida; no aprobado para implementación.</x:v>
      </x:c>
      <x:c r="F26" s="18" t="str">
        <x:v>Construir configuración electrónica y diagrama de cajas para átomo o ion.</x:v>
      </x:c>
    </x:row>
    <x:row r="27" ht="52" customHeight="1">
      <x:c r="A27" s="18" t="str">
        <x:v>chemical-safety-lookup</x:v>
      </x:c>
      <x:c r="B27" s="18" t="str">
        <x:v>Consulta de seguridad química</x:v>
      </x:c>
      <x:c r="C27" s="18" t="str">
        <x:v>sds search</x:v>
      </x:c>
      <x:c r="D27" s="19" t="n">
        <x:v>1000</x:v>
      </x:c>
      <x:c r="E27" s="18" t="str">
        <x:v>Fuera de las 300 candidatas por menor demanda medida; no aprobado para implementación.</x:v>
      </x:c>
      <x:c r="F27" s="18" t="str">
        <x:v>Buscar referencias oficiales de una sustancia y comparar identificadores y pictogramas.</x:v>
      </x:c>
    </x:row>
    <x:row r="28" ht="52" customHeight="1">
      <x:c r="A28" s="18" t="str">
        <x:v>protein-structure-viewer</x:v>
      </x:c>
      <x:c r="B28" s="18" t="str">
        <x:v>Visor de estructuras proteicas</x:v>
      </x:c>
      <x:c r="C28" s="18" t="str">
        <x:v>pdb viewer</x:v>
      </x:c>
      <x:c r="D28" s="19" t="n">
        <x:v>1000</x:v>
      </x:c>
      <x:c r="E28" s="18" t="str">
        <x:v>Fuera de las 300 candidatas por menor demanda medida; no aprobado para implementación.</x:v>
      </x:c>
      <x:c r="F28" s="18" t="str">
        <x:v>Abrir PDB/mmCIF, colorear cadenas y medir distancias y contactos.</x:v>
      </x:c>
    </x:row>
    <x:row r="29" ht="52" customHeight="1">
      <x:c r="A29" s="18" t="str">
        <x:v>epidemiology-calculator</x:v>
      </x:c>
      <x:c r="B29" s="18" t="str">
        <x:v>Riesgos relativos y odds ratio</x:v>
      </x:c>
      <x:c r="C29" s="18" t="str">
        <x:v>odds ratio calculator</x:v>
      </x:c>
      <x:c r="D29" s="19" t="n">
        <x:v>4400</x:v>
      </x:c>
      <x:c r="E29" s="18" t="str">
        <x:v>Fisher existente ya incluye tabla 2×2 y odds ratio; ampliar antes de contar otra herramienta.</x:v>
      </x:c>
      <x:c r="F29" s="18" t="str">
        <x:v>Analizar una tabla 2×2 y estimar RR, OR e intervalos con diseño de estudio explícito.</x:v>
      </x:c>
    </x:row>
    <x:row r="30" ht="52" customHeight="1">
      <x:c r="A30" s="18" t="str">
        <x:v>queuing-calculator</x:v>
      </x:c>
      <x:c r="B30" s="18" t="str">
        <x:v>Teoría de colas</x:v>
      </x:c>
      <x:c r="C30" s="18" t="str">
        <x:v>queueing calculator</x:v>
      </x:c>
      <x:c r="D30" s="19" t="n">
        <x:v>170</x:v>
      </x:c>
      <x:c r="E30" s="18" t="str">
        <x:v>Fuera de las 300 candidatas por menor demanda medida; no aprobado para implementación.</x:v>
      </x:c>
      <x:c r="F30" s="18" t="str">
        <x:v>Estimar esperas y utilización en modelos M/M/1 y M/M/c con hipótesis.</x:v>
      </x:c>
    </x:row>
    <x:row r="31" ht="52" customHeight="1">
      <x:c r="A31" s="18" t="str">
        <x:v>ingredient-substitution</x:v>
      </x:c>
      <x:c r="B31" s="18" t="str">
        <x:v>Sustitutos de ingredientes</x:v>
      </x:c>
      <x:c r="C31" s="18" t="str">
        <x:v>ingredient substitute</x:v>
      </x:c>
      <x:c r="D31" s="19" t="n">
        <x:v>140</x:v>
      </x:c>
      <x:c r="E31" s="18" t="str">
        <x:v>Fuera de las 300 candidatas por menor demanda medida; no aprobado para implementación.</x:v>
      </x:c>
      <x:c r="F31" s="18" t="str">
        <x:v>Buscar sustituciones por función culinaria y ajustar proporción y restricciones.</x:v>
      </x:c>
    </x:row>
    <x:row r="32" ht="52" customHeight="1">
      <x:c r="A32" s="18" t="str">
        <x:v>pan-size-converter</x:v>
      </x:c>
      <x:c r="B32" s="18" t="str">
        <x:v>Adaptador de moldes de repostería</x:v>
      </x:c>
      <x:c r="C32" s="18" t="str">
        <x:v>cake pan converter</x:v>
      </x:c>
      <x:c r="D32" s="19" t="n">
        <x:v>590</x:v>
      </x:c>
      <x:c r="E32" s="18" t="str">
        <x:v>Perfil geométrico que puede añadirse a recipe-scaler.</x:v>
      </x:c>
      <x:c r="F32" s="18" t="str">
        <x:v>Ajustar receta entre moldes de forma y altura diferentes con escala y volumen.</x:v>
      </x:c>
    </x:row>
    <x:row r="33" ht="52" customHeight="1">
      <x:c r="A33" s="18" t="str">
        <x:v>coffee-brewing-calculator</x:v>
      </x:c>
      <x:c r="B33" s="18" t="str">
        <x:v>Recetas de café</x:v>
      </x:c>
      <x:c r="C33" s="18" t="str">
        <x:v>coffee calculator</x:v>
      </x:c>
      <x:c r="D33" s="19" t="n">
        <x:v>3600</x:v>
      </x:c>
      <x:c r="E33" s="18" t="str">
        <x:v>Demanda insuficiente y ampliación posible de ratio-proportion-calculator.</x:v>
      </x:c>
      <x:c r="F33" s="18" t="str">
        <x:v>Diseñar dosis, rendimiento y fases de vertido y registrar una preparación.</x:v>
      </x:c>
    </x:row>
    <x:row r="34" ht="52" customHeight="1">
      <x:c r="A34" s="18" t="str">
        <x:v>homebrew-recipe-calculator</x:v>
      </x:c>
      <x:c r="B34" s="18" t="str">
        <x:v>Formulador de cerveza casera</x:v>
      </x:c>
      <x:c r="C34" s="18" t="str">
        <x:v>beer brewing calculator</x:v>
      </x:c>
      <x:c r="D34" s="19" t="n">
        <x:v>1000</x:v>
      </x:c>
      <x:c r="E34" s="18" t="str">
        <x:v>Fuera de las 300 candidatas por menor demanda medida; no aprobado para implementación.</x:v>
      </x:c>
      <x:c r="F34" s="18" t="str">
        <x:v>Formular maceración, densidad, amargor y balance de una receta con parámetros propios.</x:v>
      </x:c>
    </x:row>
    <x:row r="35" ht="52" customHeight="1">
      <x:c r="A35" s="18" t="str">
        <x:v>mushroom-identifier</x:v>
      </x:c>
      <x:c r="B35" s="18" t="str">
        <x:v>Identificador visual de setas</x:v>
      </x:c>
      <x:c r="C35" s="18" t="str">
        <x:v>mushroom identifier</x:v>
      </x:c>
      <x:c r="D35" s="19" t="n">
        <x:v>18100</x:v>
      </x:c>
      <x:c r="E35" s="18" t="str">
        <x:v>Fiabilidad y licencias del modelo pendientes; se retira de esta tanda para evitar falsa utilidad práctica.</x:v>
      </x:c>
      <x:c r="F35" s="18" t="str">
        <x:v>Ofrecer candidatos taxonómicos con fuentes a partir de una foto.</x:v>
      </x:c>
    </x:row>
    <x:row r="36" ht="52" customHeight="1">
      <x:c r="A36" s="18" t="str">
        <x:v>pet-medication-log</x:v>
      </x:c>
      <x:c r="B36" s="18" t="str">
        <x:v>Registro de medicación de mascotas</x:v>
      </x:c>
      <x:c r="C36" s="18" t="str">
        <x:v>pet medication tracker</x:v>
      </x:c>
      <x:c r="D36" s="19" t="n">
        <x:v>70</x:v>
      </x:c>
      <x:c r="E36" s="18" t="str">
        <x:v>Fuera de las 300 candidatas por menor demanda medida; no aprobado para implementación.</x:v>
      </x:c>
      <x:c r="F36" s="18" t="str">
        <x:v>Registrar prescripción aportada, horarios y dosis ya administradas y exportar calendario.</x:v>
      </x:c>
    </x:row>
    <x:row r="37" ht="52" customHeight="1">
      <x:c r="A37" s="18" t="str">
        <x:v>home-inventory</x:v>
      </x:c>
      <x:c r="B37" s="18" t="str">
        <x:v>Inventario del hogar</x:v>
      </x:c>
      <x:c r="C37" s="18" t="str">
        <x:v>home inventory app</x:v>
      </x:c>
      <x:c r="D37" s="19" t="n">
        <x:v>1900</x:v>
      </x:c>
      <x:c r="E37" s="18" t="str">
        <x:v>Fuera de las 300 candidatas por menor demanda medida; no aprobado para implementación.</x:v>
      </x:c>
      <x:c r="F37" s="18" t="str">
        <x:v>Registrar bienes, fotos, números de serie y valor declarado y exportar respaldo.</x:v>
      </x:c>
    </x:row>
    <x:row r="38" ht="52" customHeight="1">
      <x:c r="A38" s="18" t="str">
        <x:v>appliance-repair-guide</x:v>
      </x:c>
      <x:c r="B38" s="18" t="str">
        <x:v>Guía de diagnóstico de electrodomésticos</x:v>
      </x:c>
      <x:c r="C38" s="18" t="str">
        <x:v>washing machine troubleshooting</x:v>
      </x:c>
      <x:c r="D38" s="19" t="n">
        <x:v>1900</x:v>
      </x:c>
      <x:c r="E38" s="18" t="str">
        <x:v>Cobertura por marca/modelo y derechos de manuales sin resolver; no es una herramienta sólida para esta tanda.</x:v>
      </x:c>
      <x:c r="F38" s="18" t="str">
        <x:v>Navegar síntomas y comprobaciones no invasivas con manual y modelo aportados.</x:v>
      </x:c>
    </x:row>
    <x:row r="39" ht="52" customHeight="1">
      <x:c r="A39" s="18" t="str">
        <x:v>recycling-sorter</x:v>
      </x:c>
      <x:c r="B39" s="18" t="str">
        <x:v>Clasificador de residuos</x:v>
      </x:c>
      <x:c r="C39" s="18" t="str">
        <x:v>recycling guide</x:v>
      </x:c>
      <x:c r="D39" s="19" t="n">
        <x:v>1600</x:v>
      </x:c>
      <x:c r="E39" s="18" t="str">
        <x:v>Fuera de las 300 candidatas por menor demanda medida; no aprobado para implementación.</x:v>
      </x:c>
      <x:c r="F39" s="18" t="str">
        <x:v>Buscar material y consultar regla de separación por municipio elegido.</x:v>
      </x:c>
    </x:row>
    <x:row r="40" ht="52" customHeight="1">
      <x:c r="A40" s="18" t="str">
        <x:v>event-countdown-page</x:v>
      </x:c>
      <x:c r="B40" s="18" t="str">
        <x:v>Cuenta atrás compartible</x:v>
      </x:c>
      <x:c r="C40" s="18" t="str">
        <x:v>countdown clock</x:v>
      </x:c>
      <x:c r="D40" s="19" t="n">
        <x:v>33100</x:v>
      </x:c>
      <x:c r="E40" s="18" t="str">
        <x:v>Cuenta atrás ya incluida en online-timer.</x:v>
      </x:c>
      <x:c r="F40" s="18" t="str">
        <x:v>Crear una página de cuenta atrás con fecha, zona horaria y tema exportables.</x:v>
      </x:c>
    </x:row>
    <x:row r="41" ht="52" customHeight="1">
      <x:c r="A41" s="18" t="str">
        <x:v>menopause-symptom-log</x:v>
      </x:c>
      <x:c r="B41" s="18" t="str">
        <x:v>Registro de síntomas de menopausia</x:v>
      </x:c>
      <x:c r="C41" s="18" t="str">
        <x:v>menopause symptom tracker</x:v>
      </x:c>
      <x:c r="D41" s="19" t="n">
        <x:v>320</x:v>
      </x:c>
      <x:c r="E41" s="18" t="str">
        <x:v>Fuera de las 300 candidatas por menor demanda medida; no aprobado para implementación.</x:v>
      </x:c>
      <x:c r="F41" s="18" t="str">
        <x:v>Anotar síntomas y su impacto, visualizar cambios y exportar para consulta.</x:v>
      </x:c>
    </x:row>
    <x:row r="42" ht="52" customHeight="1">
      <x:c r="A42" s="18" t="str">
        <x:v>us-estate-tax</x:v>
      </x:c>
      <x:c r="B42" s="18" t="str">
        <x:v>Impuesto sucesorio federal de Estados Unidos</x:v>
      </x:c>
      <x:c r="C42" s="18" t="str">
        <x:v>estate tax calculator</x:v>
      </x:c>
      <x:c r="D42" s="19" t="n">
        <x:v>1000</x:v>
      </x:c>
      <x:c r="E42" s="18" t="str">
        <x:v>Fuera de las 300 candidatas por menor demanda medida; no aprobado para implementación.</x:v>
      </x:c>
      <x:c r="F42" s="18" t="str">
        <x:v>Aplicar exclusión, donaciones previas y escala federal a un patrimonio declarado.</x:v>
      </x:c>
    </x:row>
    <x:row r="43" ht="52" customHeight="1">
      <x:c r="A43" s="18" t="str">
        <x:v>mexico-profit-sharing</x:v>
      </x:c>
      <x:c r="B43" s="18" t="str">
        <x:v>Reparto PTU de México</x:v>
      </x:c>
      <x:c r="C43" s="18" t="str">
        <x:v>calculadora ptu</x:v>
      </x:c>
      <x:c r="D43" s="19" t="n">
        <x:v>880</x:v>
      </x:c>
      <x:c r="E43" s="18" t="str">
        <x:v>Fuera de las 300 candidatas por menor demanda medida; no aprobado para implementación.</x:v>
      </x:c>
      <x:c r="F43" s="18" t="str">
        <x:v>Distribuir utilidad repartible por días y salario con límites individuales.</x:v>
      </x:c>
    </x:row>
    <x:row r="44" ht="52" customHeight="1">
      <x:c r="A44" s="18" t="str">
        <x:v>canada-mortgage-stress-test</x:v>
      </x:c>
      <x:c r="B44" s="18" t="str">
        <x:v>Prueba hipotecaria de Canadá</x:v>
      </x:c>
      <x:c r="C44" s="18" t="str">
        <x:v>mortgage stress test calculator</x:v>
      </x:c>
      <x:c r="D44" s="19" t="n">
        <x:v>590</x:v>
      </x:c>
      <x:c r="E44" s="18" t="str">
        <x:v>Fuera de las 300 candidatas por menor demanda medida; no aprobado para implementación.</x:v>
      </x:c>
      <x:c r="F44" s="18" t="str">
        <x:v>Calcular capacidad regulatoria con tasa de prueba, GDS y TDS y obligaciones declaradas.</x:v>
      </x:c>
    </x:row>
    <x:row r="45" ht="52" customHeight="1">
      <x:c r="A45" s="18" t="str">
        <x:v>credit-score-simulator</x:v>
      </x:c>
      <x:c r="B45" s="18" t="str">
        <x:v>Simulador educativo de perfil crediticio</x:v>
      </x:c>
      <x:c r="C45" s="18" t="str">
        <x:v>credit score simulator</x:v>
      </x:c>
      <x:c r="D45" s="19" t="n">
        <x:v>6600</x:v>
      </x:c>
      <x:c r="E45" s="18" t="str">
        <x:v>No existe un modelo abierto verificado que permita prometer un score crediticio real.</x:v>
      </x:c>
      <x:c r="F45" s="18" t="str">
        <x:v>Explorar efectos cualitativos de utilización, pagos e historial con supuestos visibles.</x:v>
      </x:c>
    </x:row>
    <x:row r="46" ht="52" customHeight="1">
      <x:c r="A46" s="18" t="str">
        <x:v>freelance-rate-calculator</x:v>
      </x:c>
      <x:c r="B46" s="18" t="str">
        <x:v>Tarifa profesional sostenible</x:v>
      </x:c>
      <x:c r="C46" s="18" t="str">
        <x:v>freelance rate calculator</x:v>
      </x:c>
      <x:c r="D46" s="19" t="n">
        <x:v>880</x:v>
      </x:c>
      <x:c r="E46" s="18" t="str">
        <x:v>Fuera de las 300 candidatas por menor demanda medida; no aprobado para implementación.</x:v>
      </x:c>
      <x:c r="F46" s="18" t="str">
        <x:v>Derivar tarifa de ingresos deseados, costes, horas facturables e impagos previstos.</x:v>
      </x:c>
    </x:row>
    <x:row r="47" ht="52" customHeight="1">
      <x:c r="A47" s="18" t="str">
        <x:v>subscription-pricing-simulator</x:v>
      </x:c>
      <x:c r="B47" s="18" t="str">
        <x:v>Precio de suscripción y cohortes</x:v>
      </x:c>
      <x:c r="C47" s="18" t="str">
        <x:v>saas calculator</x:v>
      </x:c>
      <x:c r="D47" s="19" t="n">
        <x:v>260</x:v>
      </x:c>
      <x:c r="E47" s="18" t="str">
        <x:v>Fuera de las 300 candidatas por menor demanda medida; no aprobado para implementación.</x:v>
      </x:c>
      <x:c r="F47" s="18" t="str">
        <x:v>Comparar cohortes, conversión, churn y costes para escenarios de precios.</x:v>
      </x:c>
    </x:row>
    <x:row r="48" ht="52" customHeight="1">
      <x:c r="A48" s="18" t="str">
        <x:v>inventory-reorder-calculator</x:v>
      </x:c>
      <x:c r="B48" s="18" t="str">
        <x:v>Reposición de inventario</x:v>
      </x:c>
      <x:c r="C48" s="18" t="str">
        <x:v>eoq calculator</x:v>
      </x:c>
      <x:c r="D48" s="19" t="n">
        <x:v>590</x:v>
      </x:c>
      <x:c r="E48" s="18" t="str">
        <x:v>Fuera de las 300 candidatas por menor demanda medida; no aprobado para implementación.</x:v>
      </x:c>
      <x:c r="F48" s="18" t="str">
        <x:v>Calcular pedido económico, stock de seguridad y punto de reposición con supuestos.</x:v>
      </x:c>
    </x:row>
    <x:row r="49" ht="52" customHeight="1">
      <x:c r="A49" s="18" t="str">
        <x:v>critical-path-planner</x:v>
      </x:c>
      <x:c r="B49" s="18" t="str">
        <x:v>Planificador de ruta crítica</x:v>
      </x:c>
      <x:c r="C49" s="18" t="str">
        <x:v>critical path method</x:v>
      </x:c>
      <x:c r="D49" s="19" t="n">
        <x:v>18100</x:v>
      </x:c>
      <x:c r="E49" s="18" t="str">
        <x:v>Combinar ruta crítica con PERT en un solo planificador.</x:v>
      </x:c>
      <x:c r="F49" s="18" t="str">
        <x:v>Calcular inicio temprano, holguras y ruta crítica desde una red de tareas.</x:v>
      </x:c>
    </x:row>
    <x:row r="50" ht="52" customHeight="1">
      <x:c r="A50" s="18" t="str">
        <x:v>lean-canvas-builder</x:v>
      </x:c>
      <x:c r="B50" s="18" t="str">
        <x:v>Lienzo Lean</x:v>
      </x:c>
      <x:c r="C50" s="18" t="str">
        <x:v>lean canvas</x:v>
      </x:c>
      <x:c r="D50" s="19" t="n">
        <x:v>60500</x:v>
      </x:c>
      <x:c r="E50" s="18" t="str">
        <x:v>Mantener como plantilla del lienzo de negocio, no otra herramienta contada.</x:v>
      </x:c>
      <x:c r="F50" s="18" t="str">
        <x:v>Relacionar problema, segmentos, propuesta y métricas de una hipótesis de negocio.</x:v>
      </x:c>
    </x:row>
    <x:row r="51" ht="52" customHeight="1">
      <x:c r="A51" s="18" t="str">
        <x:v>likert-survey-analyzer</x:v>
      </x:c>
      <x:c r="B51" s="18" t="str">
        <x:v>Análisis de escalas Likert</x:v>
      </x:c>
      <x:c r="C51" s="18" t="str">
        <x:v>likert scale analysis</x:v>
      </x:c>
      <x:c r="D51" s="19" t="n">
        <x:v>480</x:v>
      </x:c>
      <x:c r="E51" s="18" t="str">
        <x:v>Fuera de las 300 candidatas por menor demanda medida; no aprobado para implementación.</x:v>
      </x:c>
      <x:c r="F51" s="18" t="str">
        <x:v>Analizar respuestas ordinales, faltantes, inversión de ítems y distribución por pregunta.</x:v>
      </x:c>
    </x:row>
    <x:row r="52" ht="52" customHeight="1">
      <x:c r="A52" s="18" t="str">
        <x:v>timeboxing-planner</x:v>
      </x:c>
      <x:c r="B52" s="18" t="str">
        <x:v>Planificación por bloques</x:v>
      </x:c>
      <x:c r="C52" s="18" t="str">
        <x:v>time blocking planner</x:v>
      </x:c>
      <x:c r="D52" s="19" t="n">
        <x:v>3600</x:v>
      </x:c>
      <x:c r="E52" s="18" t="str">
        <x:v>El reparto de bloques se solapa con study-planner y weekly-planner.</x:v>
      </x:c>
      <x:c r="F52" s="18" t="str">
        <x:v>Encajar tareas con duración y prioridad en disponibilidad y reajustar interrupciones.</x:v>
      </x:c>
    </x:row>
    <x:row r="53" ht="52" customHeight="1">
      <x:c r="A53" s="18" t="str">
        <x:v>decision-randomizer</x:v>
      </x:c>
      <x:c r="B53" s="18" t="str">
        <x:v>Sorteo ponderado verificable</x:v>
      </x:c>
      <x:c r="C53" s="18" t="str">
        <x:v>weighted wheel</x:v>
      </x:c>
      <x:c r="D53" s="19" t="n">
        <x:v>9900</x:v>
      </x:c>
      <x:c r="E53" s="18" t="str">
        <x:v>Mejorar random-name-picker con pesos, no crear otra rueda.</x:v>
      </x:c>
      <x:c r="F53" s="18" t="str">
        <x:v>Elegir elementos por pesos y exportar semilla y registro reproducible de sorteo.</x:v>
      </x:c>
    </x:row>
    <x:row r="54" ht="52" customHeight="1">
      <x:c r="A54" s="18" t="str">
        <x:v>round-table-agenda</x:v>
      </x:c>
      <x:c r="B54" s="18" t="str">
        <x:v>Agenda de reunión participativa</x:v>
      </x:c>
      <x:c r="C54" s="18" t="str">
        <x:v>meeting agenda template</x:v>
      </x:c>
      <x:c r="D54" s="19" t="n">
        <x:v>33100</x:v>
      </x:c>
      <x:c r="E54" s="18" t="str">
        <x:v>Integrar agenda en meeting-minutes-template.</x:v>
      </x:c>
      <x:c r="F54" s="18" t="str">
        <x:v>Crear agenda, asignar tiempos y turnos y registrar decisiones durante una sesión.</x:v>
      </x:c>
    </x:row>
    <x:row r="55" ht="52" customHeight="1">
      <x:c r="A55" s="18" t="str">
        <x:v>document-template-engine</x:v>
      </x:c>
      <x:c r="B55" s="18" t="str">
        <x:v>Plantillas con campos y condiciones</x:v>
      </x:c>
      <x:c r="C55" s="18" t="str">
        <x:v>document automation</x:v>
      </x:c>
      <x:c r="D55" s="19" t="n">
        <x:v>1000</x:v>
      </x:c>
      <x:c r="E55" s="18" t="str">
        <x:v>Combinar campos y condiciones con mail merge en una única herramienta.</x:v>
      </x:c>
      <x:c r="F55" s="18" t="str">
        <x:v>Crear campos, condiciones y repeticiones y generar documentos desde datos estructurados.</x:v>
      </x:c>
    </x:row>
    <x:row r="56" ht="52" customHeight="1">
      <x:c r="A56" s="18" t="str">
        <x:v>pdf-layer-manager</x:v>
      </x:c>
      <x:c r="B56" s="18" t="str">
        <x:v>Gestor de capas PDF</x:v>
      </x:c>
      <x:c r="C56" s="18" t="str">
        <x:v>pdf layers</x:v>
      </x:c>
      <x:c r="D56" s="19" t="n">
        <x:v>720</x:v>
      </x:c>
      <x:c r="E56" s="18" t="str">
        <x:v>Fuera de las 300 candidatas por menor demanda medida; no aprobado para implementación.</x:v>
      </x:c>
      <x:c r="F56" s="18" t="str">
        <x:v>Inspeccionar grupos opcionales, modificar visibilidad y exportar una copia.</x:v>
      </x:c>
    </x:row>
    <x:row r="57" ht="52" customHeight="1">
      <x:c r="A57" s="18" t="str">
        <x:v>pdf-preflight</x:v>
      </x:c>
      <x:c r="B57" s="18" t="str">
        <x:v>Preflight de impresión PDF</x:v>
      </x:c>
      <x:c r="C57" s="18" t="str">
        <x:v>pdf preflight</x:v>
      </x:c>
      <x:c r="D57" s="19" t="n">
        <x:v>320</x:v>
      </x:c>
      <x:c r="E57" s="18" t="str">
        <x:v>Fuera de las 300 candidatas por menor demanda medida; no aprobado para implementación.</x:v>
      </x:c>
      <x:c r="F57" s="18" t="str">
        <x:v>Revisar tamaño, cajas, resolución, fuentes y perfiles para un perfil de impresión elegido.</x:v>
      </x:c>
    </x:row>
    <x:row r="58" ht="52" customHeight="1">
      <x:c r="A58" s="18" t="str">
        <x:v>spreadsheet-auditor</x:v>
      </x:c>
      <x:c r="B58" s="18" t="str">
        <x:v>Auditor de hojas de cálculo</x:v>
      </x:c>
      <x:c r="C58" s="18" t="str">
        <x:v>excel audit</x:v>
      </x:c>
      <x:c r="D58" s="19" t="n">
        <x:v>320</x:v>
      </x:c>
      <x:c r="E58" s="18" t="str">
        <x:v>Fuera de las 300 candidatas por menor demanda medida; no aprobado para implementación.</x:v>
      </x:c>
      <x:c r="F58" s="18" t="str">
        <x:v>Leer un libro, detectar referencias rotas, constantes anómalas y fórmulas inconsistentes.</x:v>
      </x:c>
    </x:row>
    <x:row r="59" ht="52" customHeight="1">
      <x:c r="A59" s="18" t="str">
        <x:v>spreadsheet-pivot-builder</x:v>
      </x:c>
      <x:c r="B59" s="18" t="str">
        <x:v>Tablas dinámicas locales</x:v>
      </x:c>
      <x:c r="C59" s="18" t="str">
        <x:v>pivot table online</x:v>
      </x:c>
      <x:c r="D59" s="19" t="n">
        <x:v>90</x:v>
      </x:c>
      <x:c r="E59" s="18" t="str">
        <x:v>Fuera de las 300 candidatas por menor demanda medida; no aprobado para implementación.</x:v>
      </x:c>
      <x:c r="F59" s="18" t="str">
        <x:v>Agrupar datos por dimensiones con filtros y agregaciones y exportar el resultado.</x:v>
      </x:c>
    </x:row>
    <x:row r="60" ht="52" customHeight="1">
      <x:c r="A60" s="18" t="str">
        <x:v>spreadsheet-data-cleaner</x:v>
      </x:c>
      <x:c r="B60" s="18" t="str">
        <x:v>Limpieza de datos tabulares</x:v>
      </x:c>
      <x:c r="C60" s="18" t="str">
        <x:v>data cleaning tool</x:v>
      </x:c>
      <x:c r="D60" s="19" t="n">
        <x:v>6600</x:v>
      </x:c>
      <x:c r="E60" s="18" t="str">
        <x:v>Posible ampliación de csv-editor; no contar sin necesidad distinta.</x:v>
      </x:c>
      <x:c r="F60" s="18" t="str">
        <x:v>Normalizar tipos, fechas, faltantes y duplicados con historial y vista previa.</x:v>
      </x:c>
    </x:row>
    <x:row r="61" ht="52" customHeight="1">
      <x:c r="A61" s="18" t="str">
        <x:v>audio-source-separator</x:v>
      </x:c>
      <x:c r="B61" s="18" t="str">
        <x:v>Separador de instrumentos</x:v>
      </x:c>
      <x:c r="C61" s="18" t="str">
        <x:v>stem splitter</x:v>
      </x:c>
      <x:c r="D61" s="19" t="n">
        <x:v>40500</x:v>
      </x:c>
      <x:c r="E61" s="18" t="str">
        <x:v>Ampliar vocal-remover a stems si la misma arquitectura lo permite.</x:v>
      </x:c>
      <x:c r="F61" s="18" t="str">
        <x:v>Separar mezcla en batería, bajo y otros stems y exportar cada pista.</x:v>
      </x:c>
    </x:row>
    <x:row r="62" ht="52" customHeight="1">
      <x:c r="A62" s="18" t="str">
        <x:v>audio-equalizer</x:v>
      </x:c>
      <x:c r="B62" s="18" t="str">
        <x:v>Ecualizador de audio</x:v>
      </x:c>
      <x:c r="C62" s="18" t="str">
        <x:v>audio equalizer</x:v>
      </x:c>
      <x:c r="D62" s="19" t="n">
        <x:v>12100</x:v>
      </x:c>
      <x:c r="E62" s="18" t="str">
        <x:v>Añadir como efecto de audio-editor.</x:v>
      </x:c>
      <x:c r="F62" s="18" t="str">
        <x:v>Ajustar bandas, comparar respuesta y exportar audio procesado.</x:v>
      </x:c>
    </x:row>
    <x:row r="63" ht="52" customHeight="1">
      <x:c r="A63" s="18" t="str">
        <x:v>audio-phase-checker</x:v>
      </x:c>
      <x:c r="B63" s="18" t="str">
        <x:v>Analizador de fase estéreo</x:v>
      </x:c>
      <x:c r="C63" s="18" t="str">
        <x:v>phase correlation meter</x:v>
      </x:c>
      <x:c r="D63" s="19" t="n">
        <x:v>210</x:v>
      </x:c>
      <x:c r="E63" s="18" t="str">
        <x:v>Fuera de las 300 candidatas por menor demanda medida; no aprobado para implementación.</x:v>
      </x:c>
      <x:c r="F63" s="18" t="str">
        <x:v>Visualizar correlación y suma mono y localizar cancelaciones en una mezcla.</x:v>
      </x:c>
    </x:row>
    <x:row r="64" ht="52" customHeight="1">
      <x:c r="A64" s="18" t="str">
        <x:v>music-practice-log</x:v>
      </x:c>
      <x:c r="B64" s="18" t="str">
        <x:v>Registro de práctica musical</x:v>
      </x:c>
      <x:c r="C64" s="18" t="str">
        <x:v>music practice log</x:v>
      </x:c>
      <x:c r="D64" s="19" t="n">
        <x:v>320</x:v>
      </x:c>
      <x:c r="E64" s="18" t="str">
        <x:v>Plantilla de habit-tracker/workout-planner: no aporta demanda o independencia suficientes.</x:v>
      </x:c>
      <x:c r="F64" s="18" t="str">
        <x:v>Organizar piezas, tempo objetivo, sesiones y evolución con exportación local.</x:v>
      </x:c>
    </x:row>
    <x:row r="65" ht="52" customHeight="1">
      <x:c r="A65" s="18" t="str">
        <x:v>temperament-tuning-tool</x:v>
      </x:c>
      <x:c r="B65" s="18" t="str">
        <x:v>Afinaciones y temperamentos</x:v>
      </x:c>
      <x:c r="C65" s="18" t="str">
        <x:v>tuning calculator</x:v>
      </x:c>
      <x:c r="D65" s="19" t="n">
        <x:v>390</x:v>
      </x:c>
      <x:c r="E65" s="18" t="str">
        <x:v>Fuera de las 300 candidatas por menor demanda medida; no aprobado para implementación.</x:v>
      </x:c>
      <x:c r="F65" s="18" t="str">
        <x:v>Comparar frecuencias de escalas según temperamento y referencia y exportar tablas.</x:v>
      </x:c>
    </x:row>
    <x:row r="66" ht="52" customHeight="1">
      <x:c r="A66" s="18" t="str">
        <x:v>sample-slicer</x:v>
      </x:c>
      <x:c r="B66" s="18" t="str">
        <x:v>Cortador de muestras musicales</x:v>
      </x:c>
      <x:c r="C66" s="18" t="str">
        <x:v>audio slicer</x:v>
      </x:c>
      <x:c r="D66" s="19" t="n">
        <x:v>590</x:v>
      </x:c>
      <x:c r="E66" s="18" t="str">
        <x:v>Integrar cortes y pads con audio-editor/soundboard antes de otra URL.</x:v>
      </x:c>
      <x:c r="F66" s="18" t="str">
        <x:v>Detectar ataques, corregir cortes y mapear fragmentos a un sampler local.</x:v>
      </x:c>
    </x:row>
    <x:row r="67" ht="52" customHeight="1">
      <x:c r="A67" s="18" t="str">
        <x:v>midi-arranger</x:v>
      </x:c>
      <x:c r="B67" s="18" t="str">
        <x:v>Editor multipista MIDI</x:v>
      </x:c>
      <x:c r="C67" s="18" t="str">
        <x:v>midi editor</x:v>
      </x:c>
      <x:c r="D67" s="19" t="n">
        <x:v>8100</x:v>
      </x:c>
      <x:c r="E67" s="18" t="str">
        <x:v>Ampliar online-sequencer con importación y pistas en vez de duplicar el editor.</x:v>
      </x:c>
      <x:c r="F67" s="18" t="str">
        <x:v>Abrir MIDI, editar pistas, notas y tempo y exportar un arreglo.</x:v>
      </x:c>
    </x:row>
    <x:row r="68" ht="52" customHeight="1">
      <x:c r="A68" s="18" t="str">
        <x:v>local-voice-generator</x:v>
      </x:c>
      <x:c r="B68" s="18" t="str">
        <x:v>Voz sintética exportable</x:v>
      </x:c>
      <x:c r="C68" s="18" t="str">
        <x:v>ai voice generator</x:v>
      </x:c>
      <x:c r="D68" s="19" t="n">
        <x:v>368000</x:v>
      </x:c>
      <x:c r="E68" s="18" t="str">
        <x:v>La voz exportable puede ser una mejora de text-to-speech; no contar como herramienta nueva.</x:v>
      </x:c>
      <x:c r="F68" s="18" t="str">
        <x:v>Generar narración y exportar audio con voces redistribuibles sin servicios pagados.</x:v>
      </x:c>
    </x:row>
    <x:row r="69" ht="52" customHeight="1">
      <x:c r="A69" s="18" t="str">
        <x:v>local-video-generator</x:v>
      </x:c>
      <x:c r="B69" s="18" t="str">
        <x:v>Generador de vídeo local</x:v>
      </x:c>
      <x:c r="C69" s="18" t="str">
        <x:v>ai video generator</x:v>
      </x:c>
      <x:c r="D69" s="19" t="n">
        <x:v>1500000</x:v>
      </x:c>
      <x:c r="E69" s="18" t="str">
        <x:v>Rendimiento de generación local en dispositivos corrientes no demostrado; no prometer gratuidad operativa escalable.</x:v>
      </x:c>
      <x:c r="F69" s="18" t="str">
        <x:v>Generar un clip corto desde una descripción con un modelo local autorizado.</x:v>
      </x:c>
    </x:row>
    <x:row r="70" ht="52" customHeight="1">
      <x:c r="A70" s="18" t="str">
        <x:v>online-compass</x:v>
      </x:c>
      <x:c r="B70" s="18" t="str">
        <x:v>Brújula del dispositivo</x:v>
      </x:c>
      <x:c r="C70" s="18" t="str">
        <x:v>compass online</x:v>
      </x:c>
      <x:c r="D70" s="19" t="n">
        <x:v>301000</x:v>
      </x:c>
      <x:c r="E70" s="18" t="str">
        <x:v>Usar orientación como modo del producto de brújula/qibla y evitar dos interfaces iguales.</x:v>
      </x:c>
      <x:c r="F70" s="18" t="str">
        <x:v>Mostrar orientación del dispositivo, norte de referencia y calibración o entrada manual.</x:v>
      </x:c>
    </x:row>
    <x:row r="71" ht="52" customHeight="1">
      <x:c r="A71" s="18" t="str">
        <x:v>birth-chart</x:v>
      </x:c>
      <x:c r="B71" s="18" t="str">
        <x:v>Carta natal calculada</x:v>
      </x:c>
      <x:c r="C71" s="18" t="str">
        <x:v>birth chart</x:v>
      </x:c>
      <x:c r="D71" s="19" t="n">
        <x:v>673000</x:v>
      </x:c>
      <x:c r="E71" s="18" t="str">
        <x:v>Ya existe natal-chart-calculator: misma función con otro nombre.</x:v>
      </x:c>
      <x:c r="F71" s="18" t="str">
        <x:v>Calcular y representar posiciones astronómicas y casas para una fecha y lugar introducidos.</x:v>
      </x:c>
    </x:row>
    <x:row r="72" ht="52" customHeight="1">
      <x:c r="A72" s="18" t="str">
        <x:v>tarot-card-reading</x:v>
      </x:c>
      <x:c r="B72" s="18" t="str">
        <x:v>Tirada de tarot recreativa</x:v>
      </x:c>
      <x:c r="C72" s="18" t="str">
        <x:v>tarot reading</x:v>
      </x:c>
      <x:c r="D72" s="19" t="str">
        <x:v>n.a.</x:v>
      </x:c>
      <x:c r="E72" s="18" t="str">
        <x:v>Fuera de las 300 candidatas por menor demanda medida; no aprobado para implementación.</x:v>
      </x:c>
      <x:c r="F72" s="18" t="str">
        <x:v>Elegir una tirada, repartir cartas y mostrar interpretaciones originales como entretenimiento.</x:v>
      </x:c>
    </x:row>
    <x:row r="73" ht="52" customHeight="1">
      <x:c r="A73" s="18" t="str">
        <x:v>numerology-calculator</x:v>
      </x:c>
      <x:c r="B73" s="18" t="str">
        <x:v>Numerología recreativa</x:v>
      </x:c>
      <x:c r="C73" s="18" t="str">
        <x:v>numerology</x:v>
      </x:c>
      <x:c r="D73" s="19" t="n">
        <x:v>368000</x:v>
      </x:c>
      <x:c r="E73" s="18" t="str">
        <x:v>Ya existe numerology-calculator.</x:v>
      </x:c>
      <x:c r="F73" s="18" t="str">
        <x:v>Calcular números bajo un sistema declarado y explicar su carácter recreativo.</x:v>
      </x:c>
    </x:row>
    <x:row r="74" ht="52" customHeight="1">
      <x:c r="A74" s="18" t="str">
        <x:v>tattoo-preview</x:v>
      </x:c>
      <x:c r="B74" s="18" t="str">
        <x:v>Simulador de tatuajes</x:v>
      </x:c>
      <x:c r="C74" s="18" t="str">
        <x:v>tattoo design app</x:v>
      </x:c>
      <x:c r="D74" s="19" t="n">
        <x:v>8100</x:v>
      </x:c>
      <x:c r="E74" s="18" t="str">
        <x:v>Operación de composición que debería vivir en image-editor o mockup-generator.</x:v>
      </x:c>
      <x:c r="F74" s="18" t="str">
        <x:v>Situar un diseño propio en una foto, deformarlo y comparar tamaño y contraste.</x:v>
      </x:c>
    </x:row>
    <x:row r="75" ht="52" customHeight="1">
      <x:c r="A75" s="18" t="str">
        <x:v>signature-designer</x:v>
      </x:c>
      <x:c r="B75" s="18" t="str">
        <x:v>Diseñador de firma manuscrita</x:v>
      </x:c>
      <x:c r="C75" s="18" t="str">
        <x:v>signature generator</x:v>
      </x:c>
      <x:c r="D75" s="19" t="n">
        <x:v>165000</x:v>
      </x:c>
      <x:c r="E75" s="18" t="str">
        <x:v>La firma dibujada ya es parte de pdf-form-filler; exportarla no crea por sí sola otra función.</x:v>
      </x:c>
      <x:c r="F75" s="18" t="str">
        <x:v>Dibujar una firma propia, limpiar el trazo y exportar SVG o PNG con fondo transparente.</x:v>
      </x:c>
    </x:row>
    <x:row r="76" ht="52" customHeight="1">
      <x:c r="A76" s="18" t="str">
        <x:v>stock-screening-local</x:v>
      </x:c>
      <x:c r="B76" s="18" t="str">
        <x:v>Filtro de datos bursátiles propios</x:v>
      </x:c>
      <x:c r="C76" s="18" t="str">
        <x:v>stock screener</x:v>
      </x:c>
      <x:c r="D76" s="19" t="n">
        <x:v>74000</x:v>
      </x:c>
      <x:c r="E76" s="18" t="str">
        <x:v>Un screener sin datos actuales no satisface la demanda habitual; coste y licencias no resueltos.</x:v>
      </x:c>
      <x:c r="F76" s="18" t="str">
        <x:v>Cargar una tabla, filtrar indicadores y comparar empresas con reglas guardables.</x:v>
      </x:c>
    </x:row>
    <x:row r="77" ht="52" customHeight="1">
      <x:c r="A77" s="18" t="str">
        <x:v>dream-journal-symbols</x:v>
      </x:c>
      <x:c r="B77" s="18" t="str">
        <x:v>Diario y símbolos de sueños</x:v>
      </x:c>
      <x:c r="C77" s="18" t="str">
        <x:v>dream meaning</x:v>
      </x:c>
      <x:c r="D77" s="19" t="n">
        <x:v>74000</x:v>
      </x:c>
      <x:c r="E77" s="18" t="str">
        <x:v>Diario y diccionario simbólico no justifican aquí otra URL frente a journal-online.</x:v>
      </x:c>
      <x:c r="F77" s="18" t="str">
        <x:v>Registrar sueños privados, buscar símbolos en textos originales y revisar patrones personales.</x:v>
      </x:c>
    </x:row>
  </x:sheetData>
  <x:pageMargins left="0.7" right="0.7" top="0.75" bottom="0.75" header="0.3" footer="0.3"/>
  <x:tableParts count="1">
    <x:tablePart xmlns:r="http://schemas.openxmlformats.org/officeDocument/2006/relationships" r:id="Re60a1ed219634c3c"/>
  </x:tableParts>
</x:worksheet>
</file>